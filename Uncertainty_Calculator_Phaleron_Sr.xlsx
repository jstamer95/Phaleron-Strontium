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74182f7f22ae68e/Documents/Arizona State/Phaleron/4_Manuscripts and Presentations/Strontium/JAS manuscript/"/>
    </mc:Choice>
  </mc:AlternateContent>
  <xr:revisionPtr revIDLastSave="516" documentId="11_D7F0DA5E0A174308035040446DE79AF434CD181B" xr6:coauthVersionLast="47" xr6:coauthVersionMax="47" xr10:uidLastSave="{C73465CE-817C-469F-ABCC-6CA45F97ADE1}"/>
  <bookViews>
    <workbookView xWindow="-25320" yWindow="-120" windowWidth="25440" windowHeight="15270" tabRatio="500" xr2:uid="{00000000-000D-0000-FFFF-FFFF00000000}"/>
  </bookViews>
  <sheets>
    <sheet name="87Sr.86S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K11" i="1" l="1"/>
  <c r="AX7" i="1"/>
  <c r="AX8" i="1"/>
  <c r="AX13" i="1" s="1"/>
  <c r="AX9" i="1"/>
  <c r="H7" i="1"/>
  <c r="T7" i="1"/>
  <c r="U7" i="1"/>
  <c r="U11" i="1" s="1"/>
  <c r="V7" i="1"/>
  <c r="V11" i="1" s="1"/>
  <c r="W7" i="1"/>
  <c r="W11" i="1" s="1"/>
  <c r="X7" i="1"/>
  <c r="X11" i="1" s="1"/>
  <c r="Y7" i="1"/>
  <c r="Y11" i="1" s="1"/>
  <c r="Z7" i="1"/>
  <c r="Z11" i="1" s="1"/>
  <c r="AA7" i="1"/>
  <c r="AA11" i="1" s="1"/>
  <c r="AB7" i="1"/>
  <c r="AB11" i="1" s="1"/>
  <c r="T8" i="1"/>
  <c r="T13" i="1" s="1"/>
  <c r="U8" i="1"/>
  <c r="U13" i="1" s="1"/>
  <c r="V8" i="1"/>
  <c r="V13" i="1" s="1"/>
  <c r="W8" i="1"/>
  <c r="W13" i="1" s="1"/>
  <c r="X8" i="1"/>
  <c r="X13" i="1" s="1"/>
  <c r="Y8" i="1"/>
  <c r="Y13" i="1" s="1"/>
  <c r="Z8" i="1"/>
  <c r="Z13" i="1" s="1"/>
  <c r="AA8" i="1"/>
  <c r="AA13" i="1" s="1"/>
  <c r="AB8" i="1"/>
  <c r="AB13" i="1" s="1"/>
  <c r="T9" i="1"/>
  <c r="U9" i="1"/>
  <c r="V9" i="1"/>
  <c r="W9" i="1"/>
  <c r="X9" i="1"/>
  <c r="Y9" i="1"/>
  <c r="Z9" i="1"/>
  <c r="AA9" i="1"/>
  <c r="AB9" i="1"/>
  <c r="R7" i="1"/>
  <c r="R11" i="1" s="1"/>
  <c r="S7" i="1"/>
  <c r="R8" i="1"/>
  <c r="R13" i="1" s="1"/>
  <c r="S8" i="1"/>
  <c r="R9" i="1"/>
  <c r="S9" i="1"/>
  <c r="Q9" i="1"/>
  <c r="Q8" i="1"/>
  <c r="Q13" i="1" s="1"/>
  <c r="Q7" i="1"/>
  <c r="Q11" i="1" s="1"/>
  <c r="F7" i="1"/>
  <c r="G7" i="1"/>
  <c r="I7" i="1"/>
  <c r="J7" i="1"/>
  <c r="K7" i="1"/>
  <c r="L7" i="1"/>
  <c r="M7" i="1"/>
  <c r="N7" i="1"/>
  <c r="O7" i="1"/>
  <c r="F8" i="1"/>
  <c r="F13" i="1" s="1"/>
  <c r="G8" i="1"/>
  <c r="G13" i="1" s="1"/>
  <c r="H8" i="1"/>
  <c r="H13" i="1" s="1"/>
  <c r="I8" i="1"/>
  <c r="I13" i="1" s="1"/>
  <c r="J8" i="1"/>
  <c r="J13" i="1" s="1"/>
  <c r="K8" i="1"/>
  <c r="K13" i="1" s="1"/>
  <c r="L8" i="1"/>
  <c r="L13" i="1" s="1"/>
  <c r="M8" i="1"/>
  <c r="M13" i="1" s="1"/>
  <c r="N8" i="1"/>
  <c r="N13" i="1" s="1"/>
  <c r="O8" i="1"/>
  <c r="O13" i="1" s="1"/>
  <c r="F9" i="1"/>
  <c r="G9" i="1"/>
  <c r="H9" i="1"/>
  <c r="I9" i="1"/>
  <c r="J9" i="1"/>
  <c r="K9" i="1"/>
  <c r="L9" i="1"/>
  <c r="M9" i="1"/>
  <c r="N9" i="1"/>
  <c r="O9" i="1"/>
  <c r="E9" i="1"/>
  <c r="E8" i="1"/>
  <c r="E13" i="1" s="1"/>
  <c r="E7" i="1"/>
  <c r="AW7" i="1"/>
  <c r="AW8" i="1"/>
  <c r="AW13" i="1" s="1"/>
  <c r="AW9" i="1"/>
  <c r="AU7" i="1"/>
  <c r="AU8" i="1"/>
  <c r="AU13" i="1" s="1"/>
  <c r="AU9" i="1"/>
  <c r="AS7" i="1"/>
  <c r="AS8" i="1"/>
  <c r="AS13" i="1" s="1"/>
  <c r="AS9" i="1"/>
  <c r="AQ7" i="1"/>
  <c r="AQ8" i="1"/>
  <c r="AQ13" i="1" s="1"/>
  <c r="AQ9" i="1"/>
  <c r="BF7" i="1"/>
  <c r="BF8" i="1"/>
  <c r="BF13" i="1" s="1"/>
  <c r="BF9" i="1"/>
  <c r="BE7" i="1"/>
  <c r="BE8" i="1"/>
  <c r="BE13" i="1" s="1"/>
  <c r="BE9" i="1"/>
  <c r="BD7" i="1"/>
  <c r="BD8" i="1"/>
  <c r="BD13" i="1" s="1"/>
  <c r="BD9" i="1"/>
  <c r="BB7" i="1"/>
  <c r="BB8" i="1"/>
  <c r="BB13" i="1" s="1"/>
  <c r="BB9" i="1"/>
  <c r="AZ7" i="1"/>
  <c r="AZ8" i="1"/>
  <c r="AZ13" i="1" s="1"/>
  <c r="AZ9" i="1"/>
  <c r="AO7" i="1"/>
  <c r="AO8" i="1"/>
  <c r="AO13" i="1" s="1"/>
  <c r="AO9" i="1"/>
  <c r="T11" i="1"/>
  <c r="AM7" i="1"/>
  <c r="AM8" i="1"/>
  <c r="AM13" i="1" s="1"/>
  <c r="AM9" i="1"/>
  <c r="AK7" i="1"/>
  <c r="AK8" i="1"/>
  <c r="AK13" i="1" s="1"/>
  <c r="AK9" i="1"/>
  <c r="BC7" i="1"/>
  <c r="BC8" i="1"/>
  <c r="BC13" i="1" s="1"/>
  <c r="BC9" i="1"/>
  <c r="B22" i="1"/>
  <c r="AT7" i="1"/>
  <c r="AV7" i="1"/>
  <c r="AY7" i="1"/>
  <c r="BA7" i="1"/>
  <c r="AT8" i="1"/>
  <c r="AT13" i="1" s="1"/>
  <c r="AV8" i="1"/>
  <c r="AV13" i="1" s="1"/>
  <c r="AY8" i="1"/>
  <c r="AY13" i="1" s="1"/>
  <c r="BA8" i="1"/>
  <c r="BA13" i="1" s="1"/>
  <c r="AT9" i="1"/>
  <c r="AV9" i="1"/>
  <c r="AY9" i="1"/>
  <c r="BA9" i="1"/>
  <c r="AR9" i="1"/>
  <c r="AR8" i="1"/>
  <c r="AR13" i="1" s="1"/>
  <c r="AR7" i="1"/>
  <c r="AP9" i="1"/>
  <c r="AP8" i="1"/>
  <c r="AP13" i="1" s="1"/>
  <c r="AP7" i="1"/>
  <c r="AN9" i="1"/>
  <c r="AN8" i="1"/>
  <c r="AN13" i="1" s="1"/>
  <c r="AN7" i="1"/>
  <c r="AL9" i="1"/>
  <c r="AL8" i="1"/>
  <c r="AL13" i="1" s="1"/>
  <c r="AL7" i="1"/>
  <c r="AJ9" i="1"/>
  <c r="AJ8" i="1"/>
  <c r="AJ13" i="1" s="1"/>
  <c r="AJ7" i="1"/>
  <c r="C14" i="1" l="1"/>
  <c r="B13" i="1" s="1"/>
  <c r="C17" i="1"/>
  <c r="B16" i="1" s="1"/>
  <c r="B21" i="1"/>
  <c r="B23" i="1" s="1"/>
  <c r="B19" i="1" l="1"/>
  <c r="B25" i="1" s="1"/>
</calcChain>
</file>

<file path=xl/sharedStrings.xml><?xml version="1.0" encoding="utf-8"?>
<sst xmlns="http://schemas.openxmlformats.org/spreadsheetml/2006/main" count="113" uniqueCount="63">
  <si>
    <t>Calibration Standards</t>
  </si>
  <si>
    <t>Check Standards</t>
  </si>
  <si>
    <t>Sample Replicates</t>
  </si>
  <si>
    <t>Name:</t>
  </si>
  <si>
    <t>Known delta:</t>
  </si>
  <si>
    <t>Measured mean:</t>
  </si>
  <si>
    <t>Measured StDev:</t>
  </si>
  <si>
    <t>Number measured:</t>
  </si>
  <si>
    <t>u(Cref)</t>
  </si>
  <si>
    <t>u(bias)</t>
  </si>
  <si>
    <t>Standard deviation:</t>
  </si>
  <si>
    <r>
      <t>Δ</t>
    </r>
    <r>
      <rPr>
        <i/>
        <vertAlign val="subscript"/>
        <sz val="16"/>
        <color theme="1"/>
        <rFont val="Microsoft Sans Serif"/>
        <family val="2"/>
      </rPr>
      <t>Measured−Known</t>
    </r>
  </si>
  <si>
    <r>
      <t>s</t>
    </r>
    <r>
      <rPr>
        <i/>
        <vertAlign val="subscript"/>
        <sz val="16"/>
        <color theme="1"/>
        <rFont val="Microsoft Sans Serif"/>
        <family val="2"/>
      </rPr>
      <t>srm</t>
    </r>
  </si>
  <si>
    <r>
      <t>df</t>
    </r>
    <r>
      <rPr>
        <i/>
        <vertAlign val="subscript"/>
        <sz val="16"/>
        <color theme="1"/>
        <rFont val="Microsoft Sans Serif"/>
        <family val="2"/>
      </rPr>
      <t>srm</t>
    </r>
  </si>
  <si>
    <r>
      <t>s</t>
    </r>
    <r>
      <rPr>
        <i/>
        <vertAlign val="subscript"/>
        <sz val="16"/>
        <color theme="1"/>
        <rFont val="Microsoft Sans Serif"/>
        <family val="2"/>
      </rPr>
      <t>rep</t>
    </r>
  </si>
  <si>
    <r>
      <t>df</t>
    </r>
    <r>
      <rPr>
        <i/>
        <vertAlign val="subscript"/>
        <sz val="16"/>
        <color theme="1"/>
        <rFont val="Microsoft Sans Serif"/>
        <family val="2"/>
      </rPr>
      <t>rep</t>
    </r>
  </si>
  <si>
    <r>
      <t>u(R</t>
    </r>
    <r>
      <rPr>
        <i/>
        <vertAlign val="subscript"/>
        <sz val="16"/>
        <color theme="1"/>
        <rFont val="Microsoft Sans Serif"/>
        <family val="2"/>
      </rPr>
      <t>w</t>
    </r>
    <r>
      <rPr>
        <i/>
        <sz val="16"/>
        <color theme="1"/>
        <rFont val="Microsoft Sans Serif"/>
        <family val="2"/>
      </rPr>
      <t>)</t>
    </r>
  </si>
  <si>
    <r>
      <t>RMS</t>
    </r>
    <r>
      <rPr>
        <i/>
        <vertAlign val="subscript"/>
        <sz val="16"/>
        <color theme="1"/>
        <rFont val="Microsoft Sans Serif"/>
        <family val="2"/>
      </rPr>
      <t>bias</t>
    </r>
  </si>
  <si>
    <r>
      <t>Standard Uncertainty (u</t>
    </r>
    <r>
      <rPr>
        <b/>
        <i/>
        <vertAlign val="subscript"/>
        <sz val="14"/>
        <color theme="1"/>
        <rFont val="Microsoft Sans Serif"/>
        <family val="2"/>
      </rPr>
      <t>c</t>
    </r>
    <r>
      <rPr>
        <b/>
        <i/>
        <sz val="14"/>
        <color theme="1"/>
        <rFont val="Microsoft Sans Serif"/>
        <family val="2"/>
      </rPr>
      <t>)</t>
    </r>
  </si>
  <si>
    <t>Analytical Session</t>
  </si>
  <si>
    <r>
      <t xml:space="preserve">Appendix G. </t>
    </r>
    <r>
      <rPr>
        <sz val="12"/>
        <color theme="1"/>
        <rFont val="Microsoft Sans Serif"/>
        <family val="2"/>
      </rPr>
      <t>Standard uncertainty calculator</t>
    </r>
  </si>
  <si>
    <t>CUE-0001</t>
  </si>
  <si>
    <t>NIST-1400</t>
  </si>
  <si>
    <t>IAPSO_25ppb'</t>
  </si>
  <si>
    <t>SRM_987_50ppb</t>
  </si>
  <si>
    <t>IAPSO_50ppb'</t>
  </si>
  <si>
    <t>Esplanada Enamel 1 - 8.28.2019</t>
  </si>
  <si>
    <t>Esplanada Enamel 2 - 7.20.2021</t>
  </si>
  <si>
    <t>Esplanada Bone 1 - 9.7.2023</t>
  </si>
  <si>
    <t>Esplanada Redos - 11.6.2023</t>
  </si>
  <si>
    <t>Dissertation Batch 1 - 11.6.2023</t>
  </si>
  <si>
    <t>Esplanada Bone 2 - 6.10.2024</t>
  </si>
  <si>
    <t>Esplanada Enamel 3 - 10.9.2024</t>
  </si>
  <si>
    <t>Esplanada Bone 3 - 10.31.2024</t>
  </si>
  <si>
    <t>Dissertation Enamel 2 - 9.9.2025</t>
  </si>
  <si>
    <t>NIST-1486</t>
  </si>
  <si>
    <t>1-10</t>
  </si>
  <si>
    <t>ACL-10562</t>
  </si>
  <si>
    <t>ACL-10576</t>
  </si>
  <si>
    <t>ACL-11390</t>
  </si>
  <si>
    <t>ACL-11417</t>
  </si>
  <si>
    <t>3-10</t>
  </si>
  <si>
    <t>ACL-11268</t>
  </si>
  <si>
    <t>ACL-11307</t>
  </si>
  <si>
    <t>ACL-11884</t>
  </si>
  <si>
    <t>ACL-11690</t>
  </si>
  <si>
    <t>ACL-11935</t>
  </si>
  <si>
    <t>ACL-11697</t>
  </si>
  <si>
    <t>ACL-11915</t>
  </si>
  <si>
    <t>Dissertation Petrous and Serial Sampling  1- 9.22.2025</t>
  </si>
  <si>
    <t>Dissertation Petrous and Serial Sampling 2 - 9.22.2025</t>
  </si>
  <si>
    <t>Dissertation Petrous and Serial Sampling 1 - 9.22.2025</t>
  </si>
  <si>
    <t>ACL-11748</t>
  </si>
  <si>
    <t>ACL-12080</t>
  </si>
  <si>
    <t>ACL-11782</t>
  </si>
  <si>
    <t>Dissertation Batch 1 - 11.6.2024</t>
  </si>
  <si>
    <t>ACL-11555</t>
  </si>
  <si>
    <t>ACL-11798</t>
  </si>
  <si>
    <t>Esplanada Bone 2 - 6.10.2025</t>
  </si>
  <si>
    <t>ACL-11260</t>
  </si>
  <si>
    <t>Esplanada Enamel 3 - 10.9.2025</t>
  </si>
  <si>
    <t>ACL-11895</t>
  </si>
  <si>
    <t>Esplanada Enamel 3 - 10.9.2026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</si>
</sst>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"/>
    <numFmt numFmtId="167" formatCode="0.00000000000"/>
    <numFmt numFmtId="170" formatCode="0.0000000"/>
  </numFmts>
  <fonts count="1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Microsoft Sans Serif"/>
      <family val="2"/>
    </font>
    <font>
      <b/>
      <sz val="12"/>
      <color theme="1"/>
      <name val="Microsoft Sans Serif"/>
      <family val="2"/>
    </font>
    <font>
      <i/>
      <sz val="16"/>
      <color theme="1"/>
      <name val="Microsoft Sans Serif"/>
      <family val="2"/>
    </font>
    <font>
      <i/>
      <vertAlign val="subscript"/>
      <sz val="16"/>
      <color theme="1"/>
      <name val="Microsoft Sans Serif"/>
      <family val="2"/>
    </font>
    <font>
      <sz val="16"/>
      <color theme="1"/>
      <name val="Microsoft Sans Serif"/>
      <family val="2"/>
    </font>
    <font>
      <b/>
      <sz val="14"/>
      <color theme="1"/>
      <name val="Microsoft Sans Serif"/>
      <family val="2"/>
    </font>
    <font>
      <sz val="14"/>
      <color theme="1"/>
      <name val="Microsoft Sans Serif"/>
      <family val="2"/>
    </font>
    <font>
      <b/>
      <i/>
      <sz val="14"/>
      <color theme="1"/>
      <name val="Microsoft Sans Serif"/>
      <family val="2"/>
    </font>
    <font>
      <b/>
      <i/>
      <vertAlign val="subscript"/>
      <sz val="14"/>
      <color theme="1"/>
      <name val="Microsoft Sans Serif"/>
      <family val="2"/>
    </font>
    <font>
      <b/>
      <sz val="12"/>
      <color theme="1"/>
      <name val="Microsoft Sans Serif"/>
      <family val="2"/>
    </font>
    <font>
      <sz val="12"/>
      <color theme="1"/>
      <name val="Microsoft Sans Serif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1" xfId="0" applyFont="1" applyBorder="1" applyAlignment="1" applyProtection="1">
      <alignment horizontal="left"/>
      <protection locked="0"/>
    </xf>
    <xf numFmtId="2" fontId="3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" fontId="3" fillId="0" borderId="3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3" borderId="0" xfId="0" applyNumberFormat="1" applyFont="1" applyFill="1" applyAlignment="1">
      <alignment horizontal="left"/>
    </xf>
    <xf numFmtId="1" fontId="3" fillId="0" borderId="2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3" fillId="0" borderId="5" xfId="0" applyNumberFormat="1" applyFont="1" applyBorder="1" applyAlignment="1">
      <alignment horizontal="left"/>
    </xf>
    <xf numFmtId="1" fontId="3" fillId="0" borderId="6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2" fontId="3" fillId="4" borderId="1" xfId="0" applyNumberFormat="1" applyFont="1" applyFill="1" applyBorder="1" applyAlignment="1">
      <alignment horizontal="left"/>
    </xf>
    <xf numFmtId="2" fontId="3" fillId="4" borderId="3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1" fontId="5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9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" fontId="3" fillId="5" borderId="2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1" fontId="8" fillId="5" borderId="0" xfId="0" applyNumberFormat="1" applyFont="1" applyFill="1" applyAlignment="1">
      <alignment horizontal="left"/>
    </xf>
    <xf numFmtId="0" fontId="10" fillId="2" borderId="10" xfId="0" applyFont="1" applyFill="1" applyBorder="1" applyAlignment="1">
      <alignment horizontal="left"/>
    </xf>
    <xf numFmtId="1" fontId="3" fillId="0" borderId="12" xfId="0" applyNumberFormat="1" applyFont="1" applyBorder="1" applyAlignment="1">
      <alignment horizontal="left"/>
    </xf>
    <xf numFmtId="164" fontId="3" fillId="5" borderId="13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2" fillId="4" borderId="2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1" fontId="12" fillId="4" borderId="1" xfId="0" applyNumberFormat="1" applyFont="1" applyFill="1" applyBorder="1" applyAlignment="1">
      <alignment horizontal="left"/>
    </xf>
    <xf numFmtId="165" fontId="13" fillId="4" borderId="2" xfId="0" applyNumberFormat="1" applyFont="1" applyFill="1" applyBorder="1" applyAlignment="1">
      <alignment horizontal="left"/>
    </xf>
    <xf numFmtId="166" fontId="13" fillId="4" borderId="2" xfId="0" applyNumberFormat="1" applyFont="1" applyFill="1" applyBorder="1" applyAlignment="1">
      <alignment horizontal="left"/>
    </xf>
    <xf numFmtId="0" fontId="12" fillId="4" borderId="14" xfId="0" applyFont="1" applyFill="1" applyBorder="1" applyAlignment="1">
      <alignment horizontal="left"/>
    </xf>
    <xf numFmtId="0" fontId="12" fillId="4" borderId="1" xfId="0" quotePrefix="1" applyFont="1" applyFill="1" applyBorder="1" applyAlignment="1">
      <alignment horizontal="left"/>
    </xf>
    <xf numFmtId="49" fontId="12" fillId="4" borderId="2" xfId="0" applyNumberFormat="1" applyFont="1" applyFill="1" applyBorder="1" applyAlignment="1">
      <alignment horizontal="left"/>
    </xf>
    <xf numFmtId="0" fontId="13" fillId="4" borderId="2" xfId="0" applyFont="1" applyFill="1" applyBorder="1" applyAlignment="1" applyProtection="1">
      <alignment horizontal="left"/>
      <protection locked="0"/>
    </xf>
    <xf numFmtId="0" fontId="13" fillId="4" borderId="14" xfId="0" applyFont="1" applyFill="1" applyBorder="1" applyAlignment="1" applyProtection="1">
      <alignment horizontal="left"/>
      <protection locked="0"/>
    </xf>
    <xf numFmtId="0" fontId="13" fillId="4" borderId="1" xfId="0" applyFont="1" applyFill="1" applyBorder="1" applyAlignment="1" applyProtection="1">
      <alignment horizontal="left"/>
      <protection locked="0"/>
    </xf>
    <xf numFmtId="165" fontId="13" fillId="4" borderId="1" xfId="0" applyNumberFormat="1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165" fontId="3" fillId="5" borderId="2" xfId="0" applyNumberFormat="1" applyFont="1" applyFill="1" applyBorder="1" applyAlignment="1">
      <alignment horizontal="left"/>
    </xf>
    <xf numFmtId="165" fontId="3" fillId="5" borderId="1" xfId="0" applyNumberFormat="1" applyFont="1" applyFill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165" fontId="3" fillId="3" borderId="0" xfId="0" applyNumberFormat="1" applyFont="1" applyFill="1" applyAlignment="1">
      <alignment horizontal="left"/>
    </xf>
    <xf numFmtId="165" fontId="3" fillId="0" borderId="0" xfId="0" applyNumberFormat="1" applyFont="1" applyAlignment="1">
      <alignment horizontal="left"/>
    </xf>
    <xf numFmtId="0" fontId="12" fillId="4" borderId="3" xfId="0" applyFont="1" applyFill="1" applyBorder="1" applyAlignment="1">
      <alignment horizontal="left"/>
    </xf>
    <xf numFmtId="0" fontId="3" fillId="0" borderId="12" xfId="0" applyFont="1" applyBorder="1" applyAlignment="1" applyProtection="1">
      <alignment horizontal="left"/>
      <protection locked="0"/>
    </xf>
    <xf numFmtId="0" fontId="13" fillId="4" borderId="2" xfId="0" applyFont="1" applyFill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1" fontId="3" fillId="0" borderId="14" xfId="0" applyNumberFormat="1" applyFont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166" fontId="8" fillId="5" borderId="0" xfId="0" applyNumberFormat="1" applyFont="1" applyFill="1" applyAlignment="1">
      <alignment horizontal="left"/>
    </xf>
    <xf numFmtId="166" fontId="9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166" fontId="8" fillId="2" borderId="11" xfId="0" applyNumberFormat="1" applyFont="1" applyFill="1" applyBorder="1" applyAlignment="1">
      <alignment horizontal="left"/>
    </xf>
    <xf numFmtId="167" fontId="3" fillId="5" borderId="0" xfId="0" applyNumberFormat="1" applyFont="1" applyFill="1" applyAlignment="1">
      <alignment horizontal="left"/>
    </xf>
    <xf numFmtId="167" fontId="3" fillId="3" borderId="0" xfId="0" applyNumberFormat="1" applyFont="1" applyFill="1" applyAlignment="1">
      <alignment horizontal="left"/>
    </xf>
    <xf numFmtId="167" fontId="3" fillId="0" borderId="0" xfId="0" applyNumberFormat="1" applyFont="1" applyAlignment="1">
      <alignment horizontal="left"/>
    </xf>
    <xf numFmtId="2" fontId="4" fillId="3" borderId="7" xfId="0" applyNumberFormat="1" applyFont="1" applyFill="1" applyBorder="1" applyAlignment="1">
      <alignment horizontal="left"/>
    </xf>
    <xf numFmtId="2" fontId="4" fillId="3" borderId="8" xfId="0" applyNumberFormat="1" applyFont="1" applyFill="1" applyBorder="1" applyAlignment="1">
      <alignment horizontal="left"/>
    </xf>
    <xf numFmtId="2" fontId="4" fillId="3" borderId="9" xfId="0" applyNumberFormat="1" applyFont="1" applyFill="1" applyBorder="1" applyAlignment="1">
      <alignment horizontal="left"/>
    </xf>
    <xf numFmtId="170" fontId="3" fillId="0" borderId="4" xfId="0" applyNumberFormat="1" applyFont="1" applyBorder="1" applyAlignment="1">
      <alignment horizontal="left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385"/>
  <sheetViews>
    <sheetView showGridLines="0" tabSelected="1" workbookViewId="0">
      <pane ySplit="26" topLeftCell="A29" activePane="bottomLeft" state="frozenSplit"/>
      <selection activeCell="E8" sqref="E8"/>
      <selection pane="bottomLeft" activeCell="AK11" sqref="AK11"/>
    </sheetView>
  </sheetViews>
  <sheetFormatPr defaultColWidth="10.796875" defaultRowHeight="15.6" x14ac:dyDescent="0.3"/>
  <cols>
    <col min="1" max="1" width="31.296875" style="4" bestFit="1" customWidth="1" collapsed="1"/>
    <col min="2" max="2" width="14.5" style="4" customWidth="1" collapsed="1"/>
    <col min="3" max="3" width="8.69921875" style="5" customWidth="1" collapsed="1"/>
    <col min="4" max="4" width="1.69921875" style="6" customWidth="1" collapsed="1"/>
    <col min="5" max="6" width="33.19921875" style="5" bestFit="1" customWidth="1" collapsed="1"/>
    <col min="7" max="7" width="29.796875" style="5" bestFit="1" customWidth="1" collapsed="1"/>
    <col min="8" max="8" width="30.296875" style="5" bestFit="1" customWidth="1" collapsed="1"/>
    <col min="9" max="9" width="32.69921875" style="5" bestFit="1" customWidth="1" collapsed="1"/>
    <col min="10" max="12" width="32.296875" style="5" customWidth="1"/>
    <col min="13" max="13" width="31" style="5" bestFit="1" customWidth="1" collapsed="1"/>
    <col min="14" max="14" width="30.59765625" style="5" customWidth="1"/>
    <col min="15" max="15" width="33.19921875" style="5" bestFit="1" customWidth="1" collapsed="1"/>
    <col min="16" max="16" width="1.796875" style="6" customWidth="1" collapsed="1"/>
    <col min="17" max="18" width="15.19921875" style="5" bestFit="1" customWidth="1" collapsed="1"/>
    <col min="19" max="19" width="13.59765625" style="5" customWidth="1"/>
    <col min="20" max="20" width="29.796875" style="5" bestFit="1" customWidth="1" collapsed="1"/>
    <col min="21" max="21" width="30.296875" style="5" bestFit="1" customWidth="1"/>
    <col min="22" max="22" width="32.69921875" style="5" bestFit="1" customWidth="1"/>
    <col min="23" max="23" width="31" style="5" bestFit="1" customWidth="1"/>
    <col min="24" max="24" width="33.19921875" style="5" bestFit="1" customWidth="1"/>
    <col min="25" max="25" width="32.19921875" style="5" bestFit="1" customWidth="1"/>
    <col min="26" max="26" width="32.796875" style="5" customWidth="1"/>
    <col min="27" max="28" width="53.296875" style="5" bestFit="1" customWidth="1" collapsed="1"/>
    <col min="29" max="34" width="8.19921875" style="5" customWidth="1" collapsed="1"/>
    <col min="35" max="35" width="1.69921875" style="6" customWidth="1" collapsed="1"/>
    <col min="36" max="36" width="33.19921875" style="5" bestFit="1" customWidth="1" collapsed="1"/>
    <col min="37" max="37" width="32.796875" style="5" customWidth="1"/>
    <col min="38" max="38" width="33.19921875" style="5" bestFit="1" customWidth="1" collapsed="1"/>
    <col min="39" max="39" width="32.796875" style="5" customWidth="1"/>
    <col min="40" max="40" width="29.796875" style="5" bestFit="1" customWidth="1" collapsed="1"/>
    <col min="41" max="41" width="29.3984375" style="5" customWidth="1"/>
    <col min="42" max="42" width="30.296875" style="5" bestFit="1" customWidth="1" collapsed="1"/>
    <col min="43" max="43" width="29.8984375" style="5" customWidth="1"/>
    <col min="44" max="44" width="32.69921875" style="5" bestFit="1" customWidth="1" collapsed="1"/>
    <col min="45" max="45" width="32.296875" style="5" customWidth="1"/>
    <col min="46" max="46" width="31" style="5" bestFit="1" customWidth="1" collapsed="1"/>
    <col min="47" max="47" width="30.59765625" style="5" customWidth="1"/>
    <col min="48" max="48" width="33.19921875" style="5" bestFit="1" customWidth="1" collapsed="1"/>
    <col min="49" max="50" width="32.796875" style="5" customWidth="1"/>
    <col min="51" max="51" width="32.19921875" style="5" bestFit="1" customWidth="1" collapsed="1"/>
    <col min="52" max="52" width="31.796875" style="5" customWidth="1"/>
    <col min="53" max="53" width="33.19921875" style="5" bestFit="1" customWidth="1" collapsed="1"/>
    <col min="54" max="54" width="32.796875" style="5" customWidth="1"/>
    <col min="55" max="57" width="53.296875" style="5" bestFit="1" customWidth="1" collapsed="1"/>
    <col min="58" max="58" width="55.19921875" style="5" bestFit="1" customWidth="1" collapsed="1"/>
    <col min="59" max="82" width="10.796875" style="5" collapsed="1"/>
    <col min="83" max="98" width="10.796875" style="4" collapsed="1"/>
    <col min="99" max="150" width="10.796875" style="4"/>
    <col min="151" max="16384" width="10.796875" style="4" collapsed="1"/>
  </cols>
  <sheetData>
    <row r="1" spans="1:98" x14ac:dyDescent="0.3">
      <c r="A1" s="42" t="s">
        <v>20</v>
      </c>
      <c r="E1" s="75" t="s">
        <v>0</v>
      </c>
      <c r="F1" s="76"/>
      <c r="G1" s="76"/>
      <c r="H1" s="76"/>
      <c r="I1" s="76"/>
      <c r="J1" s="76"/>
      <c r="K1" s="76"/>
      <c r="L1" s="76"/>
      <c r="M1" s="76"/>
      <c r="N1" s="76"/>
      <c r="O1" s="76"/>
      <c r="Q1" s="75" t="s">
        <v>1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7"/>
      <c r="AJ1" s="75" t="s">
        <v>2</v>
      </c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7"/>
    </row>
    <row r="2" spans="1:98" ht="18" x14ac:dyDescent="0.35">
      <c r="A2" s="33" t="s">
        <v>3</v>
      </c>
      <c r="C2" s="4"/>
      <c r="D2" s="7"/>
      <c r="E2" s="43" t="s">
        <v>24</v>
      </c>
      <c r="F2" s="44" t="s">
        <v>24</v>
      </c>
      <c r="G2" s="43" t="s">
        <v>24</v>
      </c>
      <c r="H2" s="44" t="s">
        <v>24</v>
      </c>
      <c r="I2" s="44" t="s">
        <v>24</v>
      </c>
      <c r="J2" s="44" t="s">
        <v>24</v>
      </c>
      <c r="K2" s="44" t="s">
        <v>24</v>
      </c>
      <c r="L2" s="44" t="s">
        <v>24</v>
      </c>
      <c r="M2" s="44" t="s">
        <v>24</v>
      </c>
      <c r="N2" s="44" t="s">
        <v>24</v>
      </c>
      <c r="O2" s="44" t="s">
        <v>24</v>
      </c>
      <c r="P2" s="8"/>
      <c r="Q2" s="43" t="s">
        <v>21</v>
      </c>
      <c r="R2" s="48" t="s">
        <v>22</v>
      </c>
      <c r="S2" s="48" t="s">
        <v>35</v>
      </c>
      <c r="T2" s="49" t="s">
        <v>25</v>
      </c>
      <c r="U2" s="49" t="s">
        <v>25</v>
      </c>
      <c r="V2" s="49" t="s">
        <v>25</v>
      </c>
      <c r="W2" s="49" t="s">
        <v>25</v>
      </c>
      <c r="X2" s="49" t="s">
        <v>25</v>
      </c>
      <c r="Y2" s="49" t="s">
        <v>25</v>
      </c>
      <c r="Z2" s="49" t="s">
        <v>23</v>
      </c>
      <c r="AA2" s="49" t="s">
        <v>25</v>
      </c>
      <c r="AB2" s="49" t="s">
        <v>25</v>
      </c>
      <c r="AC2" s="49"/>
      <c r="AD2" s="26"/>
      <c r="AE2" s="26"/>
      <c r="AF2" s="26"/>
      <c r="AG2" s="26"/>
      <c r="AH2" s="27"/>
      <c r="AI2" s="7"/>
      <c r="AJ2" s="64" t="s">
        <v>37</v>
      </c>
      <c r="AK2" s="43" t="s">
        <v>38</v>
      </c>
      <c r="AL2" s="67" t="s">
        <v>39</v>
      </c>
      <c r="AM2" s="44" t="s">
        <v>40</v>
      </c>
      <c r="AN2" s="67" t="s">
        <v>42</v>
      </c>
      <c r="AO2" s="67" t="s">
        <v>43</v>
      </c>
      <c r="AP2" s="26" t="s">
        <v>40</v>
      </c>
      <c r="AQ2" s="26" t="s">
        <v>39</v>
      </c>
      <c r="AR2" s="26" t="s">
        <v>54</v>
      </c>
      <c r="AS2" s="26" t="s">
        <v>56</v>
      </c>
      <c r="AT2" s="26" t="s">
        <v>57</v>
      </c>
      <c r="AU2" s="26" t="s">
        <v>59</v>
      </c>
      <c r="AV2" s="26" t="s">
        <v>61</v>
      </c>
      <c r="AW2" s="26" t="s">
        <v>44</v>
      </c>
      <c r="AX2" s="67" t="s">
        <v>52</v>
      </c>
      <c r="AY2" s="67" t="s">
        <v>61</v>
      </c>
      <c r="AZ2" s="67" t="s">
        <v>44</v>
      </c>
      <c r="BA2" s="67" t="s">
        <v>45</v>
      </c>
      <c r="BB2" s="67" t="s">
        <v>46</v>
      </c>
      <c r="BC2" s="67" t="s">
        <v>47</v>
      </c>
      <c r="BD2" s="67" t="s">
        <v>48</v>
      </c>
      <c r="BE2" s="67" t="s">
        <v>52</v>
      </c>
      <c r="BF2" s="67" t="s">
        <v>53</v>
      </c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7"/>
    </row>
    <row r="3" spans="1:98" ht="18" x14ac:dyDescent="0.35">
      <c r="A3" s="33" t="s">
        <v>19</v>
      </c>
      <c r="C3" s="4"/>
      <c r="D3" s="7"/>
      <c r="E3" s="43" t="s">
        <v>26</v>
      </c>
      <c r="F3" s="44" t="s">
        <v>27</v>
      </c>
      <c r="G3" s="45" t="s">
        <v>28</v>
      </c>
      <c r="H3" s="45" t="s">
        <v>29</v>
      </c>
      <c r="I3" s="45" t="s">
        <v>30</v>
      </c>
      <c r="J3" s="45" t="s">
        <v>31</v>
      </c>
      <c r="K3" s="44" t="s">
        <v>32</v>
      </c>
      <c r="L3" s="62" t="s">
        <v>33</v>
      </c>
      <c r="M3" s="45" t="s">
        <v>34</v>
      </c>
      <c r="N3" s="44" t="s">
        <v>49</v>
      </c>
      <c r="O3" s="44" t="s">
        <v>50</v>
      </c>
      <c r="P3" s="8"/>
      <c r="Q3" s="50" t="s">
        <v>36</v>
      </c>
      <c r="R3" s="50" t="s">
        <v>36</v>
      </c>
      <c r="S3" s="50" t="s">
        <v>41</v>
      </c>
      <c r="T3" s="45" t="s">
        <v>28</v>
      </c>
      <c r="U3" s="45" t="s">
        <v>29</v>
      </c>
      <c r="V3" s="45" t="s">
        <v>30</v>
      </c>
      <c r="W3" s="45" t="s">
        <v>31</v>
      </c>
      <c r="X3" s="44" t="s">
        <v>32</v>
      </c>
      <c r="Y3" s="62" t="s">
        <v>33</v>
      </c>
      <c r="Z3" s="45" t="s">
        <v>34</v>
      </c>
      <c r="AA3" s="44" t="s">
        <v>51</v>
      </c>
      <c r="AB3" s="44" t="s">
        <v>50</v>
      </c>
      <c r="AC3" s="26"/>
      <c r="AD3" s="26"/>
      <c r="AE3" s="26"/>
      <c r="AF3" s="26"/>
      <c r="AG3" s="26"/>
      <c r="AH3" s="27"/>
      <c r="AI3" s="7"/>
      <c r="AJ3" s="43" t="s">
        <v>26</v>
      </c>
      <c r="AK3" s="43" t="s">
        <v>26</v>
      </c>
      <c r="AL3" s="44" t="s">
        <v>27</v>
      </c>
      <c r="AM3" s="44" t="s">
        <v>27</v>
      </c>
      <c r="AN3" s="45" t="s">
        <v>28</v>
      </c>
      <c r="AO3" s="45" t="s">
        <v>28</v>
      </c>
      <c r="AP3" s="45" t="s">
        <v>29</v>
      </c>
      <c r="AQ3" s="45" t="s">
        <v>29</v>
      </c>
      <c r="AR3" s="45" t="s">
        <v>30</v>
      </c>
      <c r="AS3" s="45" t="s">
        <v>55</v>
      </c>
      <c r="AT3" s="45" t="s">
        <v>31</v>
      </c>
      <c r="AU3" s="45" t="s">
        <v>58</v>
      </c>
      <c r="AV3" s="44" t="s">
        <v>32</v>
      </c>
      <c r="AW3" s="44" t="s">
        <v>60</v>
      </c>
      <c r="AX3" s="44" t="s">
        <v>62</v>
      </c>
      <c r="AY3" s="62" t="s">
        <v>33</v>
      </c>
      <c r="AZ3" s="62" t="s">
        <v>33</v>
      </c>
      <c r="BA3" s="45" t="s">
        <v>34</v>
      </c>
      <c r="BB3" s="45" t="s">
        <v>34</v>
      </c>
      <c r="BC3" s="44" t="s">
        <v>51</v>
      </c>
      <c r="BD3" s="44" t="s">
        <v>51</v>
      </c>
      <c r="BE3" s="44" t="s">
        <v>50</v>
      </c>
      <c r="BF3" s="44" t="s">
        <v>50</v>
      </c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7"/>
    </row>
    <row r="4" spans="1:98" ht="18" x14ac:dyDescent="0.35">
      <c r="A4" s="33" t="s">
        <v>4</v>
      </c>
      <c r="E4" s="46">
        <v>0.71025499999999997</v>
      </c>
      <c r="F4" s="46">
        <v>0.71025499999999997</v>
      </c>
      <c r="G4" s="46">
        <v>0.71025499999999997</v>
      </c>
      <c r="H4" s="46">
        <v>0.71025499999999997</v>
      </c>
      <c r="I4" s="46">
        <v>0.71025499999999997</v>
      </c>
      <c r="J4" s="46">
        <v>0.71025499999999997</v>
      </c>
      <c r="K4" s="46">
        <v>0.71025499999999997</v>
      </c>
      <c r="L4" s="46">
        <v>0.71025499999999997</v>
      </c>
      <c r="M4" s="46">
        <v>0.71025499999999997</v>
      </c>
      <c r="N4" s="46">
        <v>0.71025499999999997</v>
      </c>
      <c r="O4" s="46">
        <v>0.71025499999999997</v>
      </c>
      <c r="Q4" s="51">
        <v>0.70445500000000005</v>
      </c>
      <c r="R4" s="52">
        <v>0.71312900000000001</v>
      </c>
      <c r="S4" s="52"/>
      <c r="T4" s="53">
        <v>0.70918700000000001</v>
      </c>
      <c r="U4" s="53">
        <v>0.70918700000000001</v>
      </c>
      <c r="V4" s="53">
        <v>0.70918700000000001</v>
      </c>
      <c r="W4" s="53">
        <v>0.70918700000000001</v>
      </c>
      <c r="X4" s="53">
        <v>0.70918700000000001</v>
      </c>
      <c r="Y4" s="53">
        <v>0.70918700000000001</v>
      </c>
      <c r="Z4" s="53">
        <v>0.70918700000000001</v>
      </c>
      <c r="AA4" s="53">
        <v>0.70918700000000001</v>
      </c>
      <c r="AB4" s="53">
        <v>0.70918700000000001</v>
      </c>
      <c r="AC4" s="24"/>
      <c r="AD4" s="24"/>
      <c r="AE4" s="24"/>
      <c r="AF4" s="24"/>
      <c r="AG4" s="24"/>
      <c r="AH4" s="25"/>
      <c r="AJ4" s="9"/>
      <c r="AK4" s="65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3"/>
    </row>
    <row r="5" spans="1:98" ht="18" x14ac:dyDescent="0.35">
      <c r="A5" s="33" t="s">
        <v>10</v>
      </c>
      <c r="E5" s="47">
        <v>1.7E-5</v>
      </c>
      <c r="F5" s="47">
        <v>1.7E-5</v>
      </c>
      <c r="G5" s="47">
        <v>1.7E-5</v>
      </c>
      <c r="H5" s="47">
        <v>1.7E-5</v>
      </c>
      <c r="I5" s="47">
        <v>1.7E-5</v>
      </c>
      <c r="J5" s="47">
        <v>1.7E-5</v>
      </c>
      <c r="K5" s="47">
        <v>1.7E-5</v>
      </c>
      <c r="L5" s="47">
        <v>1.7E-5</v>
      </c>
      <c r="M5" s="47">
        <v>1.7E-5</v>
      </c>
      <c r="N5" s="47">
        <v>1.7E-5</v>
      </c>
      <c r="O5" s="47">
        <v>1.7E-5</v>
      </c>
      <c r="Q5" s="53">
        <v>9.0000000000000002E-6</v>
      </c>
      <c r="R5" s="52">
        <v>1.9000000000000001E-5</v>
      </c>
      <c r="S5" s="52"/>
      <c r="T5" s="53">
        <v>9.0000000000000002E-6</v>
      </c>
      <c r="U5" s="53">
        <v>9.0000000000000002E-6</v>
      </c>
      <c r="V5" s="53">
        <v>9.0000000000000002E-6</v>
      </c>
      <c r="W5" s="53">
        <v>9.0000000000000002E-6</v>
      </c>
      <c r="X5" s="53">
        <v>9.0000000000000002E-6</v>
      </c>
      <c r="Y5" s="53">
        <v>9.0000000000000002E-6</v>
      </c>
      <c r="Z5" s="53">
        <v>9.0000000000000002E-6</v>
      </c>
      <c r="AA5" s="53">
        <v>9.0000000000000002E-6</v>
      </c>
      <c r="AB5" s="53">
        <v>9.0000000000000002E-6</v>
      </c>
      <c r="AC5" s="24"/>
      <c r="AD5" s="24"/>
      <c r="AE5" s="24"/>
      <c r="AF5" s="24"/>
      <c r="AG5" s="24"/>
      <c r="AH5" s="25"/>
      <c r="AJ5" s="9"/>
      <c r="AK5" s="65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3"/>
    </row>
    <row r="6" spans="1:98" ht="9" customHeight="1" x14ac:dyDescent="0.35">
      <c r="A6" s="33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Q6" s="3"/>
      <c r="R6" s="1"/>
      <c r="S6" s="63"/>
      <c r="T6" s="1"/>
      <c r="U6" s="1"/>
      <c r="V6" s="1"/>
      <c r="W6" s="1"/>
      <c r="X6" s="1"/>
      <c r="Y6" s="1"/>
      <c r="Z6" s="1"/>
      <c r="AA6" s="2"/>
      <c r="AB6" s="10"/>
      <c r="AC6" s="10"/>
      <c r="AD6" s="10"/>
      <c r="AE6" s="10"/>
      <c r="AF6" s="10"/>
      <c r="AG6" s="10"/>
      <c r="AH6" s="11"/>
      <c r="AJ6" s="9"/>
      <c r="AK6" s="65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3"/>
    </row>
    <row r="7" spans="1:98" ht="18" x14ac:dyDescent="0.35">
      <c r="A7" s="33" t="s">
        <v>5</v>
      </c>
      <c r="E7" s="56">
        <f>AVERAGE(E28:E500)</f>
        <v>0.71025499999999986</v>
      </c>
      <c r="F7" s="56">
        <f t="shared" ref="F7:O7" si="0">AVERAGE(F28:F500)</f>
        <v>0.71025519522622416</v>
      </c>
      <c r="G7" s="56">
        <f t="shared" si="0"/>
        <v>0.71025456039560275</v>
      </c>
      <c r="H7" s="56">
        <f>AVERAGE(H28:H500)</f>
        <v>0.71025430869974415</v>
      </c>
      <c r="I7" s="56">
        <f>AVERAGE(I28:I500)</f>
        <v>0.71025898998751724</v>
      </c>
      <c r="J7" s="56">
        <f t="shared" si="0"/>
        <v>0.71026326514343596</v>
      </c>
      <c r="K7" s="56">
        <f t="shared" si="0"/>
        <v>0.71025370187208581</v>
      </c>
      <c r="L7" s="56">
        <f t="shared" si="0"/>
        <v>0.71025416458218649</v>
      </c>
      <c r="M7" s="56">
        <f t="shared" si="0"/>
        <v>0.71025249126003942</v>
      </c>
      <c r="N7" s="56">
        <f t="shared" si="0"/>
        <v>0.71025269145609249</v>
      </c>
      <c r="O7" s="56">
        <f t="shared" si="0"/>
        <v>0.71026043777898795</v>
      </c>
      <c r="P7" s="60"/>
      <c r="Q7" s="56">
        <f>AVERAGE(Q28:Q500)</f>
        <v>0.70447820424073249</v>
      </c>
      <c r="R7" s="56">
        <f t="shared" ref="R7:S7" si="1">AVERAGE(R28:R500)</f>
        <v>0.71311951803113649</v>
      </c>
      <c r="S7" s="56">
        <f t="shared" si="1"/>
        <v>0.70930937914651537</v>
      </c>
      <c r="T7" s="56">
        <f t="shared" ref="T7:AB7" si="2">AVERAGE(T28:T500)</f>
        <v>0.70916865011890218</v>
      </c>
      <c r="U7" s="56">
        <f t="shared" si="2"/>
        <v>0.70917481362645407</v>
      </c>
      <c r="V7" s="56">
        <f t="shared" si="2"/>
        <v>0.70918434789327056</v>
      </c>
      <c r="W7" s="56">
        <f t="shared" si="2"/>
        <v>0.70918305628828382</v>
      </c>
      <c r="X7" s="56">
        <f t="shared" si="2"/>
        <v>0.70917517067949376</v>
      </c>
      <c r="Y7" s="56">
        <f t="shared" si="2"/>
        <v>0.70917775364377844</v>
      </c>
      <c r="Z7" s="56">
        <f t="shared" si="2"/>
        <v>0.70916405926857584</v>
      </c>
      <c r="AA7" s="56">
        <f t="shared" si="2"/>
        <v>0.70918241379467439</v>
      </c>
      <c r="AB7" s="56">
        <f t="shared" si="2"/>
        <v>0.70918176708469105</v>
      </c>
      <c r="AC7" s="58"/>
      <c r="AD7" s="58"/>
      <c r="AE7" s="58"/>
      <c r="AF7" s="58"/>
      <c r="AG7" s="58"/>
      <c r="AH7" s="59"/>
      <c r="AI7" s="60"/>
      <c r="AJ7" s="56">
        <f t="shared" ref="AJ7:BA7" si="3">AVERAGE(AJ28:AJ227)</f>
        <v>0.7088930997041295</v>
      </c>
      <c r="AK7" s="56">
        <f t="shared" ref="AK7" si="4">AVERAGE(AK28:AK227)</f>
        <v>0.7092567215284894</v>
      </c>
      <c r="AL7" s="57">
        <f t="shared" si="3"/>
        <v>0.70884716752218624</v>
      </c>
      <c r="AM7" s="57">
        <f t="shared" ref="AM7" si="5">AVERAGE(AM28:AM227)</f>
        <v>0.70916910165934155</v>
      </c>
      <c r="AN7" s="57">
        <f t="shared" si="3"/>
        <v>0.70919760375779273</v>
      </c>
      <c r="AO7" s="57">
        <f t="shared" ref="AO7" si="6">AVERAGE(AO28:AO227)</f>
        <v>0.70912339117063938</v>
      </c>
      <c r="AP7" s="57">
        <f t="shared" si="3"/>
        <v>0.70926950091755459</v>
      </c>
      <c r="AQ7" s="57">
        <f t="shared" ref="AQ7" si="7">AVERAGE(AQ28:AQ227)</f>
        <v>0.70902907156500472</v>
      </c>
      <c r="AR7" s="57">
        <f t="shared" si="3"/>
        <v>0.70877872131595743</v>
      </c>
      <c r="AS7" s="57">
        <f t="shared" ref="AS7" si="8">AVERAGE(AS28:AS227)</f>
        <v>0.70918205572129056</v>
      </c>
      <c r="AT7" s="57">
        <f t="shared" si="3"/>
        <v>0.70914330046158602</v>
      </c>
      <c r="AU7" s="57">
        <f t="shared" ref="AU7" si="9">AVERAGE(AU28:AU227)</f>
        <v>0.70919106875962423</v>
      </c>
      <c r="AV7" s="57">
        <f t="shared" si="3"/>
        <v>0.70918137553968352</v>
      </c>
      <c r="AW7" s="57">
        <f t="shared" ref="AW7:AX7" si="10">AVERAGE(AW28:AW227)</f>
        <v>0.7091640462626515</v>
      </c>
      <c r="AX7" s="57">
        <f t="shared" si="10"/>
        <v>0.7093435243231736</v>
      </c>
      <c r="AY7" s="57">
        <f t="shared" si="3"/>
        <v>0.70918516156349831</v>
      </c>
      <c r="AZ7" s="57">
        <f t="shared" ref="AZ7" si="11">AVERAGE(AZ28:AZ227)</f>
        <v>0.70916211690064346</v>
      </c>
      <c r="BA7" s="57">
        <f t="shared" si="3"/>
        <v>0.70928227151881484</v>
      </c>
      <c r="BB7" s="57">
        <f t="shared" ref="BB7" si="12">AVERAGE(BB28:BB227)</f>
        <v>0.70908680316206174</v>
      </c>
      <c r="BC7" s="57">
        <f t="shared" ref="BC7:BD7" si="13">AVERAGE(BC28:BC227)</f>
        <v>0.70916087050796417</v>
      </c>
      <c r="BD7" s="57">
        <f t="shared" si="13"/>
        <v>0.70912934827419494</v>
      </c>
      <c r="BE7" s="57">
        <f t="shared" ref="BE7" si="14">AVERAGE(BE28:BE227)</f>
        <v>0.70934956087911605</v>
      </c>
      <c r="BF7" s="57">
        <f t="shared" ref="BF7" si="15">AVERAGE(BF28:BF227)</f>
        <v>0.70918874467059156</v>
      </c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3"/>
    </row>
    <row r="8" spans="1:98" ht="18" x14ac:dyDescent="0.35">
      <c r="A8" s="33" t="s">
        <v>6</v>
      </c>
      <c r="E8" s="56">
        <f>STDEV(E28:E500)</f>
        <v>2.8769237406222548E-5</v>
      </c>
      <c r="F8" s="56">
        <f t="shared" ref="F8:O8" si="16">STDEV(F28:F500)</f>
        <v>1.8129600139284387E-5</v>
      </c>
      <c r="G8" s="56">
        <f t="shared" si="16"/>
        <v>9.4661099744280666E-6</v>
      </c>
      <c r="H8" s="56">
        <f t="shared" si="16"/>
        <v>7.5473011896671372E-6</v>
      </c>
      <c r="I8" s="56">
        <f>STDEV(I28:I500)</f>
        <v>9.6474350165514753E-6</v>
      </c>
      <c r="J8" s="56">
        <f t="shared" si="16"/>
        <v>9.1736802424175771E-6</v>
      </c>
      <c r="K8" s="56">
        <f t="shared" si="16"/>
        <v>1.3950568175373817E-5</v>
      </c>
      <c r="L8" s="56">
        <f t="shared" si="16"/>
        <v>1.5350481925690341E-5</v>
      </c>
      <c r="M8" s="56">
        <f t="shared" si="16"/>
        <v>1.7505971181077598E-5</v>
      </c>
      <c r="N8" s="56">
        <f t="shared" si="16"/>
        <v>1.0779141150852087E-5</v>
      </c>
      <c r="O8" s="56">
        <f t="shared" si="16"/>
        <v>1.1360863863284672E-5</v>
      </c>
      <c r="P8" s="60"/>
      <c r="Q8" s="56">
        <f>STDEV(Q28:Q500)</f>
        <v>9.2844959223515577E-6</v>
      </c>
      <c r="R8" s="56">
        <f t="shared" ref="R8:S8" si="17">STDEV(R28:R500)</f>
        <v>3.2006993594404593E-5</v>
      </c>
      <c r="S8" s="56">
        <f t="shared" si="17"/>
        <v>1.3051641910261952E-5</v>
      </c>
      <c r="T8" s="56">
        <f t="shared" ref="T8:AB8" si="18">STDEV(T28:T500)</f>
        <v>1.4031859167749335E-5</v>
      </c>
      <c r="U8" s="56">
        <f t="shared" si="18"/>
        <v>4.9647550892657341E-6</v>
      </c>
      <c r="V8" s="56">
        <f t="shared" si="18"/>
        <v>1.2653427232303145E-5</v>
      </c>
      <c r="W8" s="56">
        <f t="shared" si="18"/>
        <v>6.8852853171249136E-6</v>
      </c>
      <c r="X8" s="56">
        <f t="shared" si="18"/>
        <v>7.3602175120931722E-6</v>
      </c>
      <c r="Y8" s="56">
        <f t="shared" si="18"/>
        <v>7.2795153014034781E-6</v>
      </c>
      <c r="Z8" s="56">
        <f t="shared" si="18"/>
        <v>1.9835883940977454E-5</v>
      </c>
      <c r="AA8" s="56">
        <f t="shared" si="18"/>
        <v>1.8137018475719208E-5</v>
      </c>
      <c r="AB8" s="56">
        <f t="shared" si="18"/>
        <v>7.0640728216602921E-6</v>
      </c>
      <c r="AC8" s="58"/>
      <c r="AD8" s="58"/>
      <c r="AE8" s="58"/>
      <c r="AF8" s="58"/>
      <c r="AG8" s="58"/>
      <c r="AH8" s="59"/>
      <c r="AI8" s="60"/>
      <c r="AJ8" s="56">
        <f t="shared" ref="AJ8:BA8" si="19">STDEV(AJ28:AJ227)</f>
        <v>3.0274383543932703E-5</v>
      </c>
      <c r="AK8" s="56">
        <f t="shared" ref="AK8" si="20">STDEV(AK28:AK227)</f>
        <v>6.2687502720263196E-5</v>
      </c>
      <c r="AL8" s="57">
        <f t="shared" si="19"/>
        <v>2.6976993897910625E-5</v>
      </c>
      <c r="AM8" s="57">
        <f t="shared" ref="AM8" si="21">STDEV(AM28:AM227)</f>
        <v>4.3961022745590298E-5</v>
      </c>
      <c r="AN8" s="57">
        <f t="shared" si="19"/>
        <v>4.3406959091369348E-6</v>
      </c>
      <c r="AO8" s="57">
        <f t="shared" ref="AO8" si="22">STDEV(AO28:AO227)</f>
        <v>2.9450595662660925E-6</v>
      </c>
      <c r="AP8" s="57">
        <f t="shared" si="19"/>
        <v>5.5772783975428137E-6</v>
      </c>
      <c r="AQ8" s="57">
        <f t="shared" ref="AQ8" si="23">STDEV(AQ28:AQ227)</f>
        <v>9.9715404208345318E-7</v>
      </c>
      <c r="AR8" s="57">
        <f t="shared" si="19"/>
        <v>1.100867022631054E-5</v>
      </c>
      <c r="AS8" s="57">
        <f t="shared" ref="AS8" si="24">STDEV(AS28:AS227)</f>
        <v>1.0520642467627885E-5</v>
      </c>
      <c r="AT8" s="57">
        <f t="shared" si="19"/>
        <v>1.1278932482649166E-6</v>
      </c>
      <c r="AU8" s="57">
        <f t="shared" ref="AU8" si="25">STDEV(AU28:AU227)</f>
        <v>6.2222237693205271E-6</v>
      </c>
      <c r="AV8" s="57">
        <f t="shared" si="19"/>
        <v>3.6721320448978826E-6</v>
      </c>
      <c r="AW8" s="57">
        <f t="shared" ref="AW8:AX8" si="26">STDEV(AW28:AW227)</f>
        <v>6.2754828043363993E-6</v>
      </c>
      <c r="AX8" s="57">
        <f t="shared" si="26"/>
        <v>9.6185435232649882E-6</v>
      </c>
      <c r="AY8" s="57">
        <f t="shared" si="19"/>
        <v>9.4177095803405817E-7</v>
      </c>
      <c r="AZ8" s="57">
        <f t="shared" ref="AZ8" si="27">STDEV(AZ28:AZ227)</f>
        <v>1.0077143429847872E-5</v>
      </c>
      <c r="BA8" s="57">
        <f t="shared" si="19"/>
        <v>4.1947166073489509E-6</v>
      </c>
      <c r="BB8" s="57">
        <f t="shared" ref="BB8" si="28">STDEV(BB28:BB227)</f>
        <v>2.085403234310637E-5</v>
      </c>
      <c r="BC8" s="57">
        <f t="shared" ref="BC8:BD8" si="29">STDEV(BC28:BC227)</f>
        <v>4.3418960093839779E-6</v>
      </c>
      <c r="BD8" s="57">
        <f t="shared" si="29"/>
        <v>1.5852583479819687E-5</v>
      </c>
      <c r="BE8" s="57">
        <f t="shared" ref="BE8" si="30">STDEV(BE28:BE227)</f>
        <v>3.3138742538737816E-6</v>
      </c>
      <c r="BF8" s="57">
        <f t="shared" ref="BF8" si="31">STDEV(BF28:BF227)</f>
        <v>6.4898898207354476E-6</v>
      </c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3"/>
    </row>
    <row r="9" spans="1:98" s="12" customFormat="1" ht="16.2" customHeight="1" x14ac:dyDescent="0.35">
      <c r="A9" s="31" t="s">
        <v>7</v>
      </c>
      <c r="D9" s="13"/>
      <c r="E9" s="34">
        <f>COUNT(E28:E500)</f>
        <v>9</v>
      </c>
      <c r="F9" s="34">
        <f t="shared" ref="F9:O9" si="32">COUNT(F28:F500)</f>
        <v>30</v>
      </c>
      <c r="G9" s="34">
        <f t="shared" si="32"/>
        <v>15</v>
      </c>
      <c r="H9" s="34">
        <f t="shared" si="32"/>
        <v>153</v>
      </c>
      <c r="I9" s="34">
        <f>COUNT(I28:I500)</f>
        <v>358</v>
      </c>
      <c r="J9" s="34">
        <f t="shared" si="32"/>
        <v>318</v>
      </c>
      <c r="K9" s="34">
        <f t="shared" si="32"/>
        <v>174</v>
      </c>
      <c r="L9" s="34">
        <f t="shared" si="32"/>
        <v>268</v>
      </c>
      <c r="M9" s="34">
        <f t="shared" si="32"/>
        <v>120</v>
      </c>
      <c r="N9" s="34">
        <f t="shared" si="32"/>
        <v>200</v>
      </c>
      <c r="O9" s="34">
        <f t="shared" si="32"/>
        <v>227</v>
      </c>
      <c r="P9" s="13"/>
      <c r="Q9" s="34">
        <f>COUNT(Q28:Q500)</f>
        <v>34</v>
      </c>
      <c r="R9" s="34">
        <f t="shared" ref="R9:S9" si="33">COUNT(R28:R500)</f>
        <v>66</v>
      </c>
      <c r="S9" s="34">
        <f t="shared" si="33"/>
        <v>29</v>
      </c>
      <c r="T9" s="34">
        <f t="shared" ref="T9:AB9" si="34">COUNT(T28:T500)</f>
        <v>2</v>
      </c>
      <c r="U9" s="34">
        <f t="shared" si="34"/>
        <v>12</v>
      </c>
      <c r="V9" s="34">
        <f t="shared" si="34"/>
        <v>31</v>
      </c>
      <c r="W9" s="34">
        <f t="shared" si="34"/>
        <v>13</v>
      </c>
      <c r="X9" s="34">
        <f t="shared" si="34"/>
        <v>7</v>
      </c>
      <c r="Y9" s="34">
        <f t="shared" si="34"/>
        <v>11</v>
      </c>
      <c r="Z9" s="34">
        <f t="shared" si="34"/>
        <v>3</v>
      </c>
      <c r="AA9" s="34">
        <f t="shared" si="34"/>
        <v>7</v>
      </c>
      <c r="AB9" s="34">
        <f t="shared" si="34"/>
        <v>7</v>
      </c>
      <c r="AC9" s="15"/>
      <c r="AD9" s="15"/>
      <c r="AE9" s="15"/>
      <c r="AF9" s="15"/>
      <c r="AG9" s="15"/>
      <c r="AH9" s="16"/>
      <c r="AI9" s="13"/>
      <c r="AJ9" s="34">
        <f t="shared" ref="AJ9:BA9" si="35">COUNT(AJ28:AJ227)</f>
        <v>3</v>
      </c>
      <c r="AK9" s="34">
        <f t="shared" ref="AK9" si="36">COUNT(AK28:AK227)</f>
        <v>3</v>
      </c>
      <c r="AL9" s="35">
        <f t="shared" si="35"/>
        <v>3</v>
      </c>
      <c r="AM9" s="35">
        <f t="shared" ref="AM9" si="37">COUNT(AM28:AM227)</f>
        <v>3</v>
      </c>
      <c r="AN9" s="35">
        <f t="shared" si="35"/>
        <v>3</v>
      </c>
      <c r="AO9" s="35">
        <f t="shared" ref="AO9" si="38">COUNT(AO28:AO227)</f>
        <v>3</v>
      </c>
      <c r="AP9" s="35">
        <f t="shared" si="35"/>
        <v>3</v>
      </c>
      <c r="AQ9" s="35">
        <f t="shared" ref="AQ9" si="39">COUNT(AQ28:AQ227)</f>
        <v>3</v>
      </c>
      <c r="AR9" s="35">
        <f t="shared" si="35"/>
        <v>3</v>
      </c>
      <c r="AS9" s="35">
        <f t="shared" ref="AS9" si="40">COUNT(AS28:AS227)</f>
        <v>3</v>
      </c>
      <c r="AT9" s="35">
        <f t="shared" si="35"/>
        <v>3</v>
      </c>
      <c r="AU9" s="35">
        <f t="shared" ref="AU9" si="41">COUNT(AU28:AU227)</f>
        <v>3</v>
      </c>
      <c r="AV9" s="35">
        <f t="shared" si="35"/>
        <v>3</v>
      </c>
      <c r="AW9" s="35">
        <f t="shared" ref="AW9:AX9" si="42">COUNT(AW28:AW227)</f>
        <v>3</v>
      </c>
      <c r="AX9" s="35">
        <f t="shared" si="42"/>
        <v>7</v>
      </c>
      <c r="AY9" s="35">
        <f t="shared" si="35"/>
        <v>3</v>
      </c>
      <c r="AZ9" s="35">
        <f t="shared" ref="AZ9" si="43">COUNT(AZ28:AZ227)</f>
        <v>3</v>
      </c>
      <c r="BA9" s="35">
        <f t="shared" si="35"/>
        <v>3</v>
      </c>
      <c r="BB9" s="35">
        <f t="shared" ref="BB9" si="44">COUNT(BB28:BB227)</f>
        <v>3</v>
      </c>
      <c r="BC9" s="35">
        <f t="shared" ref="BC9:BD9" si="45">COUNT(BC28:BC227)</f>
        <v>2</v>
      </c>
      <c r="BD9" s="35">
        <f t="shared" si="45"/>
        <v>2</v>
      </c>
      <c r="BE9" s="35">
        <f t="shared" ref="BE9" si="46">COUNT(BE28:BE227)</f>
        <v>3</v>
      </c>
      <c r="BF9" s="35">
        <f t="shared" ref="BF9" si="47">COUNT(BF28:BF227)</f>
        <v>3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6"/>
    </row>
    <row r="10" spans="1:98" s="12" customFormat="1" ht="16.8" customHeight="1" x14ac:dyDescent="0.3">
      <c r="D10" s="13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3"/>
      <c r="Q10" s="14"/>
      <c r="R10" s="15"/>
      <c r="S10" s="40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  <c r="AJ10" s="14"/>
      <c r="AK10" s="66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58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6"/>
    </row>
    <row r="11" spans="1:98" s="12" customFormat="1" ht="16.8" customHeight="1" thickBot="1" x14ac:dyDescent="0.55000000000000004">
      <c r="A11" s="28" t="s">
        <v>11</v>
      </c>
      <c r="D11" s="13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3"/>
      <c r="Q11" s="36">
        <f t="shared" ref="Q11:T11" si="48">Q7-Q4</f>
        <v>2.3204240732432879E-5</v>
      </c>
      <c r="R11" s="37">
        <f t="shared" si="48"/>
        <v>-9.4819688635228161E-6</v>
      </c>
      <c r="S11" s="41"/>
      <c r="T11" s="37">
        <f t="shared" si="48"/>
        <v>-1.834988109783442E-5</v>
      </c>
      <c r="U11" s="37">
        <f t="shared" ref="U11:AB11" si="49">U7-U4</f>
        <v>-1.2186373545941542E-5</v>
      </c>
      <c r="V11" s="37">
        <f t="shared" si="49"/>
        <v>-2.6521067294504874E-6</v>
      </c>
      <c r="W11" s="37">
        <f t="shared" si="49"/>
        <v>-3.943711716192233E-6</v>
      </c>
      <c r="X11" s="37">
        <f t="shared" si="49"/>
        <v>-1.1829320506251406E-5</v>
      </c>
      <c r="Y11" s="37">
        <f t="shared" si="49"/>
        <v>-9.2463562215705508E-6</v>
      </c>
      <c r="Z11" s="37">
        <f t="shared" si="49"/>
        <v>-2.2940731424170302E-5</v>
      </c>
      <c r="AA11" s="37">
        <f t="shared" si="49"/>
        <v>-4.5862053256184865E-6</v>
      </c>
      <c r="AB11" s="37">
        <f t="shared" si="49"/>
        <v>-5.2329153089614167E-6</v>
      </c>
      <c r="AC11" s="18"/>
      <c r="AD11" s="18"/>
      <c r="AE11" s="18"/>
      <c r="AF11" s="18"/>
      <c r="AG11" s="18"/>
      <c r="AH11" s="19"/>
      <c r="AI11" s="13"/>
      <c r="AJ11" s="17"/>
      <c r="AK11" s="78">
        <f>2*AK8</f>
        <v>1.2537500544052639E-4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9"/>
    </row>
    <row r="12" spans="1:98" s="12" customFormat="1" ht="16.8" customHeight="1" x14ac:dyDescent="0.3">
      <c r="A12" s="29"/>
      <c r="D12" s="13"/>
      <c r="P12" s="13"/>
      <c r="AI12" s="13"/>
    </row>
    <row r="13" spans="1:98" s="12" customFormat="1" ht="16.8" customHeight="1" x14ac:dyDescent="0.5">
      <c r="A13" s="30" t="s">
        <v>12</v>
      </c>
      <c r="B13" s="68">
        <f>SQRT(SUM(E13:AH13)/C14)</f>
        <v>1.3009367858376788E-5</v>
      </c>
      <c r="D13" s="13"/>
      <c r="E13" s="72">
        <f t="shared" ref="E13:O13" si="50">(COUNT(E28:E500)-1)*(E8^2)</f>
        <v>6.6213521674847576E-9</v>
      </c>
      <c r="F13" s="72">
        <f t="shared" si="50"/>
        <v>9.5317896350998737E-9</v>
      </c>
      <c r="G13" s="72">
        <f t="shared" si="50"/>
        <v>1.2545013326715315E-9</v>
      </c>
      <c r="H13" s="72">
        <f t="shared" si="50"/>
        <v>8.6581867976277491E-9</v>
      </c>
      <c r="I13" s="72">
        <f t="shared" si="50"/>
        <v>3.3227061856294333E-8</v>
      </c>
      <c r="J13" s="72">
        <f t="shared" si="50"/>
        <v>2.667758171326887E-8</v>
      </c>
      <c r="K13" s="72">
        <f t="shared" si="50"/>
        <v>3.3668974967925222E-8</v>
      </c>
      <c r="L13" s="72">
        <f t="shared" si="50"/>
        <v>6.2915157858702538E-8</v>
      </c>
      <c r="M13" s="72">
        <f t="shared" si="50"/>
        <v>3.6468624212133611E-8</v>
      </c>
      <c r="N13" s="72">
        <f t="shared" si="50"/>
        <v>2.312178690604858E-8</v>
      </c>
      <c r="O13" s="72">
        <f t="shared" si="50"/>
        <v>2.9169645464739782E-8</v>
      </c>
      <c r="P13" s="73"/>
      <c r="Q13" s="72">
        <f>(COUNT(Q28:Q227)-1)*(Q8^2)</f>
        <v>2.8446615295613693E-9</v>
      </c>
      <c r="R13" s="72">
        <f>(COUNT(R28:R227)-1)*(R8^2)</f>
        <v>6.6589096531896674E-8</v>
      </c>
      <c r="S13" s="72"/>
      <c r="T13" s="72">
        <f t="shared" ref="T13:AB13" si="51">(COUNT(T28:T227)-1)*(T8^2)</f>
        <v>1.9689307170355108E-10</v>
      </c>
      <c r="U13" s="72">
        <f t="shared" si="51"/>
        <v>2.711367240602901E-10</v>
      </c>
      <c r="V13" s="72">
        <f t="shared" si="51"/>
        <v>4.8032766216957246E-9</v>
      </c>
      <c r="W13" s="72">
        <f t="shared" si="51"/>
        <v>5.6888584677859102E-10</v>
      </c>
      <c r="X13" s="72">
        <f t="shared" si="51"/>
        <v>3.2503681095193801E-10</v>
      </c>
      <c r="Y13" s="72">
        <f t="shared" si="51"/>
        <v>5.2991343023367373E-10</v>
      </c>
      <c r="Z13" s="72">
        <f t="shared" si="51"/>
        <v>7.869245834398545E-10</v>
      </c>
      <c r="AA13" s="72">
        <f t="shared" si="51"/>
        <v>1.9737086351314796E-9</v>
      </c>
      <c r="AB13" s="72">
        <f t="shared" si="51"/>
        <v>2.9940674897831759E-10</v>
      </c>
      <c r="AC13" s="74"/>
      <c r="AD13" s="74"/>
      <c r="AE13" s="74"/>
      <c r="AF13" s="74"/>
      <c r="AG13" s="74"/>
      <c r="AH13" s="74"/>
      <c r="AI13" s="73"/>
      <c r="AJ13" s="72">
        <f t="shared" ref="AJ13:BF13" si="52">(COUNT(AJ28:AJ227)-1)*(AJ8^2)</f>
        <v>1.8330765979302866E-9</v>
      </c>
      <c r="AK13" s="72">
        <f t="shared" si="52"/>
        <v>7.8594459946060108E-9</v>
      </c>
      <c r="AL13" s="72">
        <f t="shared" si="52"/>
        <v>1.4555163995358142E-9</v>
      </c>
      <c r="AM13" s="72">
        <f t="shared" si="52"/>
        <v>3.8651430416766153E-9</v>
      </c>
      <c r="AN13" s="72">
        <f t="shared" si="52"/>
        <v>3.7683281951196241E-11</v>
      </c>
      <c r="AO13" s="72">
        <f t="shared" si="52"/>
        <v>1.7346751697710851E-11</v>
      </c>
      <c r="AP13" s="72">
        <f t="shared" si="52"/>
        <v>6.2212068647395468E-11</v>
      </c>
      <c r="AQ13" s="72">
        <f t="shared" si="52"/>
        <v>1.9886323672867382E-12</v>
      </c>
      <c r="AR13" s="72">
        <f t="shared" si="52"/>
        <v>2.4238164030331236E-10</v>
      </c>
      <c r="AS13" s="72">
        <f t="shared" si="52"/>
        <v>2.213678358633107E-10</v>
      </c>
      <c r="AT13" s="72">
        <f t="shared" si="52"/>
        <v>2.5442863589631697E-12</v>
      </c>
      <c r="AU13" s="72">
        <f t="shared" si="52"/>
        <v>7.7432137270994693E-11</v>
      </c>
      <c r="AV13" s="72">
        <f t="shared" si="52"/>
        <v>2.6969107510331809E-11</v>
      </c>
      <c r="AW13" s="72">
        <f t="shared" si="52"/>
        <v>7.8763368855043675E-11</v>
      </c>
      <c r="AX13" s="72">
        <f t="shared" si="52"/>
        <v>5.5509827705365717E-10</v>
      </c>
      <c r="AY13" s="72">
        <f t="shared" si="52"/>
        <v>1.7738650747927755E-12</v>
      </c>
      <c r="AZ13" s="72">
        <f t="shared" si="52"/>
        <v>2.0309763941145227E-10</v>
      </c>
      <c r="BA13" s="72">
        <f t="shared" si="52"/>
        <v>3.5191294831938188E-11</v>
      </c>
      <c r="BB13" s="72">
        <f t="shared" si="52"/>
        <v>8.6978132993465314E-10</v>
      </c>
      <c r="BC13" s="72">
        <f t="shared" si="52"/>
        <v>1.8852060956304513E-11</v>
      </c>
      <c r="BD13" s="72">
        <f t="shared" si="52"/>
        <v>2.5130440298465207E-10</v>
      </c>
      <c r="BE13" s="72">
        <f t="shared" si="52"/>
        <v>2.1963525140975025E-11</v>
      </c>
      <c r="BF13" s="72">
        <f t="shared" si="52"/>
        <v>8.4237339770571157E-11</v>
      </c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</row>
    <row r="14" spans="1:98" s="12" customFormat="1" ht="16.8" customHeight="1" x14ac:dyDescent="0.5">
      <c r="A14" s="28" t="s">
        <v>13</v>
      </c>
      <c r="B14" s="69"/>
      <c r="C14" s="38">
        <f>SUM(E9:AH9)-COUNT(E9:AH9)</f>
        <v>2071</v>
      </c>
      <c r="D14" s="13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3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</row>
    <row r="15" spans="1:98" s="12" customFormat="1" ht="16.8" customHeight="1" x14ac:dyDescent="0.35">
      <c r="A15" s="28"/>
      <c r="B15" s="69"/>
      <c r="C15" s="32"/>
      <c r="D15" s="13"/>
      <c r="F15" s="20"/>
      <c r="G15" s="20"/>
      <c r="H15" s="20"/>
      <c r="I15" s="20"/>
      <c r="J15" s="20"/>
      <c r="K15" s="20"/>
      <c r="L15" s="20"/>
      <c r="P15" s="13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I15" s="13"/>
    </row>
    <row r="16" spans="1:98" s="12" customFormat="1" ht="16.8" customHeight="1" x14ac:dyDescent="0.5">
      <c r="A16" s="30" t="s">
        <v>14</v>
      </c>
      <c r="B16" s="68">
        <f>SQRT(SUM(AJ13:WN13)/C17)</f>
        <v>1.9269563046276969E-5</v>
      </c>
      <c r="C16" s="32"/>
      <c r="D16" s="13"/>
      <c r="F16" s="20"/>
      <c r="G16" s="20"/>
      <c r="H16" s="20"/>
      <c r="I16" s="20"/>
      <c r="J16" s="20"/>
      <c r="K16" s="20"/>
      <c r="L16" s="20"/>
      <c r="P16" s="13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I16" s="13"/>
    </row>
    <row r="17" spans="1:98" s="12" customFormat="1" ht="16.8" customHeight="1" x14ac:dyDescent="0.5">
      <c r="A17" s="28" t="s">
        <v>15</v>
      </c>
      <c r="B17" s="69"/>
      <c r="C17" s="38">
        <f>SUM(AJ9:WN9)-COUNT(AJ9:WN9)</f>
        <v>48</v>
      </c>
      <c r="D17" s="13"/>
      <c r="F17" s="20"/>
      <c r="G17" s="20"/>
      <c r="H17" s="20"/>
      <c r="I17" s="20"/>
      <c r="J17" s="20"/>
      <c r="K17" s="20"/>
      <c r="L17" s="20"/>
      <c r="P17" s="13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I17" s="13"/>
    </row>
    <row r="18" spans="1:98" s="12" customFormat="1" ht="16.8" customHeight="1" x14ac:dyDescent="0.35">
      <c r="A18" s="28"/>
      <c r="B18" s="69"/>
      <c r="D18" s="13"/>
      <c r="F18" s="20"/>
      <c r="G18" s="20"/>
      <c r="H18" s="20"/>
      <c r="I18" s="20"/>
      <c r="J18" s="20"/>
      <c r="K18" s="20"/>
      <c r="L18" s="20"/>
      <c r="P18" s="13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I18" s="13"/>
    </row>
    <row r="19" spans="1:98" s="12" customFormat="1" ht="16.8" customHeight="1" x14ac:dyDescent="0.5">
      <c r="A19" s="30" t="s">
        <v>16</v>
      </c>
      <c r="B19" s="68">
        <f>SQRT((B13^2)+(B16^2)/2)</f>
        <v>1.8838834413832203E-5</v>
      </c>
      <c r="D19" s="13"/>
      <c r="F19" s="20"/>
      <c r="G19" s="20"/>
      <c r="H19" s="20"/>
      <c r="I19" s="20"/>
      <c r="J19" s="20"/>
      <c r="K19" s="20"/>
      <c r="L19" s="20"/>
      <c r="P19" s="13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I19" s="13"/>
    </row>
    <row r="20" spans="1:98" s="12" customFormat="1" ht="16.8" customHeight="1" x14ac:dyDescent="0.35">
      <c r="A20" s="28"/>
      <c r="B20" s="70"/>
      <c r="D20" s="13"/>
      <c r="F20" s="20"/>
      <c r="G20" s="20"/>
      <c r="H20" s="20"/>
      <c r="I20" s="20"/>
      <c r="J20" s="20"/>
      <c r="K20" s="20"/>
      <c r="L20" s="20"/>
      <c r="P20" s="13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I20" s="13"/>
    </row>
    <row r="21" spans="1:98" s="12" customFormat="1" ht="16.8" customHeight="1" x14ac:dyDescent="0.5">
      <c r="A21" s="28" t="s">
        <v>17</v>
      </c>
      <c r="B21" s="68">
        <f>SQRT(SUMSQ(Q11:AH11)/COUNT(Q11:AH11))</f>
        <v>1.3267453881309543E-5</v>
      </c>
      <c r="D21" s="13"/>
      <c r="F21" s="20"/>
      <c r="G21" s="20"/>
      <c r="H21" s="20"/>
      <c r="I21" s="20"/>
      <c r="J21" s="20"/>
      <c r="K21" s="20"/>
      <c r="L21" s="20"/>
      <c r="P21" s="13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I21" s="13"/>
    </row>
    <row r="22" spans="1:98" s="12" customFormat="1" ht="16.8" customHeight="1" x14ac:dyDescent="0.35">
      <c r="A22" s="28" t="s">
        <v>8</v>
      </c>
      <c r="B22" s="68">
        <f>SQRT(SUMSQ(Q5:AH5)/COUNT(Q5:AH5))</f>
        <v>1.03176812053167E-5</v>
      </c>
      <c r="D22" s="13"/>
      <c r="F22" s="20"/>
      <c r="G22" s="20"/>
      <c r="H22" s="20"/>
      <c r="I22" s="20"/>
      <c r="J22" s="20"/>
      <c r="K22" s="20"/>
      <c r="L22" s="20"/>
      <c r="P22" s="13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I22" s="13"/>
    </row>
    <row r="23" spans="1:98" s="12" customFormat="1" ht="16.8" customHeight="1" x14ac:dyDescent="0.35">
      <c r="A23" s="30" t="s">
        <v>9</v>
      </c>
      <c r="B23" s="68">
        <f>SQRT(SUMSQ(B21:B22))</f>
        <v>1.6807137708343474E-5</v>
      </c>
      <c r="C23" s="20"/>
      <c r="D23" s="21"/>
      <c r="F23" s="20"/>
      <c r="G23" s="20"/>
      <c r="H23" s="20"/>
      <c r="I23" s="20"/>
      <c r="J23" s="20"/>
      <c r="K23" s="20"/>
      <c r="L23" s="20"/>
      <c r="P23" s="13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I23" s="13"/>
    </row>
    <row r="24" spans="1:98" s="12" customFormat="1" ht="16.8" customHeight="1" thickBot="1" x14ac:dyDescent="0.4">
      <c r="A24" s="28"/>
      <c r="B24" s="70"/>
      <c r="C24" s="20"/>
      <c r="D24" s="21"/>
      <c r="F24" s="20"/>
      <c r="G24" s="20"/>
      <c r="H24" s="20"/>
      <c r="I24" s="20"/>
      <c r="J24" s="20"/>
      <c r="K24" s="20"/>
      <c r="L24" s="20"/>
      <c r="P24" s="13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I24" s="13"/>
    </row>
    <row r="25" spans="1:98" s="12" customFormat="1" ht="16.8" customHeight="1" thickBot="1" x14ac:dyDescent="0.45">
      <c r="A25" s="39" t="s">
        <v>18</v>
      </c>
      <c r="B25" s="71">
        <f>SQRT(SUMSQ(B23,B19))</f>
        <v>2.5246416775831964E-5</v>
      </c>
      <c r="C25" s="20"/>
      <c r="D25" s="21"/>
      <c r="F25" s="20"/>
      <c r="G25" s="20"/>
      <c r="H25" s="20"/>
      <c r="I25" s="20"/>
      <c r="J25" s="20"/>
      <c r="K25" s="20"/>
      <c r="L25" s="20"/>
      <c r="P25" s="13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I25" s="13"/>
    </row>
    <row r="26" spans="1:98" ht="16.8" customHeight="1" x14ac:dyDescent="0.3"/>
    <row r="28" spans="1:98" x14ac:dyDescent="0.3">
      <c r="A28" s="4">
        <v>1</v>
      </c>
      <c r="E28" s="55">
        <v>0.71027925636613309</v>
      </c>
      <c r="F28" s="55">
        <v>0.71025674735264666</v>
      </c>
      <c r="G28" s="55">
        <v>0.71026343443467055</v>
      </c>
      <c r="H28" s="55">
        <v>0.71024367555382195</v>
      </c>
      <c r="I28" s="55">
        <v>0.71024142396387124</v>
      </c>
      <c r="J28" s="55">
        <v>0.71024663145227329</v>
      </c>
      <c r="K28" s="55">
        <v>0.7102708760507227</v>
      </c>
      <c r="L28" s="55">
        <v>0.7102708760507227</v>
      </c>
      <c r="M28" s="55">
        <v>0.71025831955826857</v>
      </c>
      <c r="N28" s="55">
        <v>0.71026667612702443</v>
      </c>
      <c r="O28" s="55">
        <v>0.71026665882389017</v>
      </c>
      <c r="P28" s="60"/>
      <c r="Q28" s="55">
        <v>0.70448393877666871</v>
      </c>
      <c r="R28" s="55">
        <v>0.71299039138099785</v>
      </c>
      <c r="S28" s="55">
        <v>0.70929490980699728</v>
      </c>
      <c r="T28" s="55">
        <v>0.70915872809613201</v>
      </c>
      <c r="U28" s="55">
        <v>0.70918408950829381</v>
      </c>
      <c r="V28" s="55">
        <v>0.70916731140719624</v>
      </c>
      <c r="W28" s="55">
        <v>0.70918140594045775</v>
      </c>
      <c r="X28" s="55">
        <v>0.70918227886748586</v>
      </c>
      <c r="Y28" s="55">
        <v>0.70918227886748586</v>
      </c>
      <c r="Z28" s="55">
        <v>0.70915678352900835</v>
      </c>
      <c r="AA28" s="55">
        <v>0.70918079084338781</v>
      </c>
      <c r="AB28" s="55">
        <v>0.70918997968585362</v>
      </c>
      <c r="AC28" s="55"/>
      <c r="AD28" s="55"/>
      <c r="AE28" s="55"/>
      <c r="AF28" s="55"/>
      <c r="AG28" s="55"/>
      <c r="AH28" s="55"/>
      <c r="AI28" s="60"/>
      <c r="AJ28" s="55">
        <v>0.70885876903221601</v>
      </c>
      <c r="AK28" s="55">
        <v>0.70924152717225442</v>
      </c>
      <c r="AL28" s="55">
        <v>0.70881613858288939</v>
      </c>
      <c r="AM28" s="55">
        <v>0.70918330130844931</v>
      </c>
      <c r="AN28" s="55">
        <v>0.70919295887204115</v>
      </c>
      <c r="AO28" s="55">
        <v>0.70912108541435848</v>
      </c>
      <c r="AP28" s="55">
        <v>0.70927240893762822</v>
      </c>
      <c r="AQ28" s="55">
        <v>0.70903020459520338</v>
      </c>
      <c r="AR28" s="55">
        <v>0.70878757958483951</v>
      </c>
      <c r="AS28" s="55">
        <v>0.70919057082666059</v>
      </c>
      <c r="AT28" s="55">
        <v>0.70914227698741161</v>
      </c>
      <c r="AU28" s="55">
        <v>0.70919689073326786</v>
      </c>
      <c r="AV28" s="55">
        <v>0.70917755393701376</v>
      </c>
      <c r="AW28" s="55">
        <v>0.70915713345274356</v>
      </c>
      <c r="AX28" s="55">
        <v>0.70934772553877046</v>
      </c>
      <c r="AY28" s="55">
        <v>0.70918547917957697</v>
      </c>
      <c r="AZ28" s="55">
        <v>0.70915265578418296</v>
      </c>
      <c r="BA28" s="55">
        <v>0.70928664473400804</v>
      </c>
      <c r="BB28" s="55">
        <v>0.70911035141329182</v>
      </c>
      <c r="BC28" s="55">
        <v>0.70915780032385267</v>
      </c>
      <c r="BD28" s="55">
        <v>0.70911813880491703</v>
      </c>
      <c r="BE28" s="55">
        <v>0.70935329872906261</v>
      </c>
      <c r="BF28" s="55">
        <v>0.70918512833086889</v>
      </c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</row>
    <row r="29" spans="1:98" x14ac:dyDescent="0.3">
      <c r="A29" s="4">
        <v>2</v>
      </c>
      <c r="E29" s="55">
        <v>0.71025583687731297</v>
      </c>
      <c r="F29" s="55">
        <v>0.71025116845686609</v>
      </c>
      <c r="G29" s="55">
        <v>0.71025092057501593</v>
      </c>
      <c r="H29" s="55">
        <v>0.71024566964149616</v>
      </c>
      <c r="I29" s="55">
        <v>0.71025396622478609</v>
      </c>
      <c r="J29" s="55">
        <v>0.71025474965244895</v>
      </c>
      <c r="K29" s="55">
        <v>0.71026266827429696</v>
      </c>
      <c r="L29" s="55">
        <v>0.71026266827429696</v>
      </c>
      <c r="M29" s="55">
        <v>0.71023619431362295</v>
      </c>
      <c r="N29" s="55">
        <v>0.71025353756891918</v>
      </c>
      <c r="O29" s="55">
        <v>0.71025684491692798</v>
      </c>
      <c r="P29" s="60"/>
      <c r="Q29" s="55">
        <v>0.70449583400849447</v>
      </c>
      <c r="R29" s="55">
        <v>0.71321745279467097</v>
      </c>
      <c r="S29" s="55">
        <v>0.70929608162740576</v>
      </c>
      <c r="T29" s="55">
        <v>0.70917857214167235</v>
      </c>
      <c r="U29" s="55">
        <v>0.70917321837338543</v>
      </c>
      <c r="V29" s="55">
        <v>0.70918269780525955</v>
      </c>
      <c r="W29" s="55">
        <v>0.70918385987900479</v>
      </c>
      <c r="X29" s="55">
        <v>0.7091654400984081</v>
      </c>
      <c r="Y29" s="55">
        <v>0.7091654400984081</v>
      </c>
      <c r="Z29" s="55">
        <v>0.70918650564712649</v>
      </c>
      <c r="AA29" s="55">
        <v>0.70917429411545896</v>
      </c>
      <c r="AB29" s="55">
        <v>0.70918251025741297</v>
      </c>
      <c r="AC29" s="55"/>
      <c r="AD29" s="55"/>
      <c r="AE29" s="55"/>
      <c r="AF29" s="55"/>
      <c r="AG29" s="55"/>
      <c r="AH29" s="55"/>
      <c r="AI29" s="60"/>
      <c r="AJ29" s="55">
        <v>0.708904556097676</v>
      </c>
      <c r="AK29" s="55">
        <v>0.70932560958399715</v>
      </c>
      <c r="AL29" s="55">
        <v>0.70886506146538075</v>
      </c>
      <c r="AM29" s="55">
        <v>0.7092042078651003</v>
      </c>
      <c r="AN29" s="55">
        <v>0.70919829512181032</v>
      </c>
      <c r="AO29" s="55">
        <v>0.709126708763964</v>
      </c>
      <c r="AP29" s="55">
        <v>0.70926307060379301</v>
      </c>
      <c r="AQ29" s="55">
        <v>0.70902832757283552</v>
      </c>
      <c r="AR29" s="55">
        <v>0.70876639666858432</v>
      </c>
      <c r="AS29" s="55">
        <v>0.70917029459256908</v>
      </c>
      <c r="AT29" s="55">
        <v>0.70914450970755505</v>
      </c>
      <c r="AU29" s="55">
        <v>0.7091918039400783</v>
      </c>
      <c r="AV29" s="55">
        <v>0.70918169540779208</v>
      </c>
      <c r="AW29" s="55">
        <v>0.70916938454932599</v>
      </c>
      <c r="AX29" s="55">
        <v>0.70935239967745056</v>
      </c>
      <c r="AY29" s="55">
        <v>0.70918410204876015</v>
      </c>
      <c r="AZ29" s="55">
        <v>0.70917271382710256</v>
      </c>
      <c r="BA29" s="55">
        <v>0.70928188821071414</v>
      </c>
      <c r="BB29" s="55">
        <v>0.70907938799996617</v>
      </c>
      <c r="BC29" s="55">
        <v>0.70916394069207556</v>
      </c>
      <c r="BD29" s="55">
        <v>0.70914055774347284</v>
      </c>
      <c r="BE29" s="55">
        <v>0.70934698264398266</v>
      </c>
      <c r="BF29" s="55">
        <v>0.70919623704973322</v>
      </c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</row>
    <row r="30" spans="1:98" x14ac:dyDescent="0.3">
      <c r="A30" s="4">
        <v>3</v>
      </c>
      <c r="E30" s="55">
        <v>0.71023428272403333</v>
      </c>
      <c r="F30" s="55">
        <v>0.71022665536173912</v>
      </c>
      <c r="G30" s="55">
        <v>0.71025175184799505</v>
      </c>
      <c r="H30" s="55">
        <v>0.71026101253391039</v>
      </c>
      <c r="I30" s="55">
        <v>0.71025389337108669</v>
      </c>
      <c r="J30" s="55">
        <v>0.71024704727352428</v>
      </c>
      <c r="K30" s="55">
        <v>0.71027165231039924</v>
      </c>
      <c r="L30" s="55">
        <v>0.71027165231039924</v>
      </c>
      <c r="M30" s="55">
        <v>0.71023296198539754</v>
      </c>
      <c r="N30" s="55">
        <v>0.71026320615426297</v>
      </c>
      <c r="O30" s="55">
        <v>0.71026328997997967</v>
      </c>
      <c r="P30" s="60"/>
      <c r="Q30" s="55">
        <v>0.70448615040881724</v>
      </c>
      <c r="R30" s="55">
        <v>0.71294941159387892</v>
      </c>
      <c r="S30" s="55">
        <v>0.70930001312386282</v>
      </c>
      <c r="T30" s="55"/>
      <c r="U30" s="55">
        <v>0.7091715709415265</v>
      </c>
      <c r="V30" s="55">
        <v>0.70917924990766668</v>
      </c>
      <c r="W30" s="55">
        <v>0.70918299373970373</v>
      </c>
      <c r="X30" s="55">
        <v>0.70916721657907156</v>
      </c>
      <c r="Y30" s="55">
        <v>0.70916721657907156</v>
      </c>
      <c r="Z30" s="55">
        <v>0.70914888862959302</v>
      </c>
      <c r="AA30" s="55">
        <v>0.70919543189387679</v>
      </c>
      <c r="AB30" s="55">
        <v>0.70917600054658048</v>
      </c>
      <c r="AC30" s="55"/>
      <c r="AD30" s="55"/>
      <c r="AE30" s="55"/>
      <c r="AF30" s="55"/>
      <c r="AG30" s="55"/>
      <c r="AH30" s="55"/>
      <c r="AI30" s="60"/>
      <c r="AJ30" s="55">
        <v>0.70891597398249639</v>
      </c>
      <c r="AK30" s="55">
        <v>0.70920302782921685</v>
      </c>
      <c r="AL30" s="55">
        <v>0.70886030251828824</v>
      </c>
      <c r="AM30" s="55">
        <v>0.70911979580447504</v>
      </c>
      <c r="AN30" s="55">
        <v>0.70920155727952672</v>
      </c>
      <c r="AO30" s="55">
        <v>0.70912237933359556</v>
      </c>
      <c r="AP30" s="55">
        <v>0.70927302321124286</v>
      </c>
      <c r="AQ30" s="55">
        <v>0.70902868252697526</v>
      </c>
      <c r="AR30" s="55">
        <v>0.70878218769444867</v>
      </c>
      <c r="AS30" s="55">
        <v>0.70918530174464189</v>
      </c>
      <c r="AT30" s="55">
        <v>0.70914311468979141</v>
      </c>
      <c r="AU30" s="55">
        <v>0.70918451160552631</v>
      </c>
      <c r="AV30" s="55">
        <v>0.70918487727424484</v>
      </c>
      <c r="AW30" s="55">
        <v>0.70916562078588496</v>
      </c>
      <c r="AX30" s="55">
        <v>0.70932626071663274</v>
      </c>
      <c r="AY30" s="55">
        <v>0.70918590346215782</v>
      </c>
      <c r="AZ30" s="55">
        <v>0.70916098109064496</v>
      </c>
      <c r="BA30" s="55">
        <v>0.70927828161172246</v>
      </c>
      <c r="BB30" s="55">
        <v>0.70907067007292679</v>
      </c>
      <c r="BC30" s="55"/>
      <c r="BD30" s="55"/>
      <c r="BE30" s="55">
        <v>0.70934840126430287</v>
      </c>
      <c r="BF30" s="55">
        <v>0.70918486863117247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</row>
    <row r="31" spans="1:98" x14ac:dyDescent="0.3">
      <c r="A31" s="4">
        <v>4</v>
      </c>
      <c r="E31" s="55">
        <v>0.71025352812253473</v>
      </c>
      <c r="F31" s="55">
        <v>0.71023106189143814</v>
      </c>
      <c r="G31" s="55">
        <v>0.71026047481601873</v>
      </c>
      <c r="H31" s="55">
        <v>0.71024885804172699</v>
      </c>
      <c r="I31" s="55">
        <v>0.71027012042600313</v>
      </c>
      <c r="J31" s="55">
        <v>0.71025543183875617</v>
      </c>
      <c r="K31" s="55">
        <v>0.71027246500528607</v>
      </c>
      <c r="L31" s="55">
        <v>0.71027246500528607</v>
      </c>
      <c r="M31" s="55">
        <v>0.71025924290685083</v>
      </c>
      <c r="N31" s="55">
        <v>0.71025023536169785</v>
      </c>
      <c r="O31" s="55">
        <v>0.71025679587046631</v>
      </c>
      <c r="P31" s="60"/>
      <c r="Q31" s="55">
        <v>0.70449232740013179</v>
      </c>
      <c r="R31" s="55">
        <v>0.71311271528528608</v>
      </c>
      <c r="S31" s="55">
        <v>0.70931522408694159</v>
      </c>
      <c r="T31" s="55"/>
      <c r="U31" s="55">
        <v>0.7091669045196658</v>
      </c>
      <c r="V31" s="55">
        <v>0.70917552954229546</v>
      </c>
      <c r="W31" s="55">
        <v>0.70917546055376579</v>
      </c>
      <c r="X31" s="55">
        <v>0.70917362581324972</v>
      </c>
      <c r="Y31" s="55">
        <v>0.70917362581324972</v>
      </c>
      <c r="Z31" s="55"/>
      <c r="AA31" s="55">
        <v>0.70916061922392082</v>
      </c>
      <c r="AB31" s="55">
        <v>0.70918140474779745</v>
      </c>
      <c r="AC31" s="55"/>
      <c r="AD31" s="55"/>
      <c r="AE31" s="55"/>
      <c r="AF31" s="55"/>
      <c r="AG31" s="55"/>
      <c r="AH31" s="55"/>
      <c r="AI31" s="60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>
        <v>0.70935290233586323</v>
      </c>
      <c r="AY31" s="55"/>
      <c r="AZ31" s="55"/>
      <c r="BA31" s="55"/>
      <c r="BB31" s="55"/>
      <c r="BC31" s="55"/>
      <c r="BD31" s="55"/>
      <c r="BE31" s="55"/>
      <c r="BF31" s="55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</row>
    <row r="32" spans="1:98" x14ac:dyDescent="0.3">
      <c r="A32" s="4">
        <v>5</v>
      </c>
      <c r="E32" s="55">
        <v>0.71023082716063468</v>
      </c>
      <c r="F32" s="55">
        <v>0.710246194893003</v>
      </c>
      <c r="G32" s="55">
        <v>0.7102534353361416</v>
      </c>
      <c r="H32" s="55">
        <v>0.71024700613369596</v>
      </c>
      <c r="I32" s="55">
        <v>0.71026830739129498</v>
      </c>
      <c r="J32" s="55">
        <v>0.71025197523474082</v>
      </c>
      <c r="K32" s="55">
        <v>0.71026807888361443</v>
      </c>
      <c r="L32" s="55">
        <v>0.71026807888361443</v>
      </c>
      <c r="M32" s="55">
        <v>0.71025471757647252</v>
      </c>
      <c r="N32" s="55">
        <v>0.71023761331376867</v>
      </c>
      <c r="O32" s="55">
        <v>0.71025765803338592</v>
      </c>
      <c r="P32" s="60"/>
      <c r="Q32" s="55">
        <v>0.70448646164181827</v>
      </c>
      <c r="R32" s="55">
        <v>0.71311112152079847</v>
      </c>
      <c r="S32" s="55">
        <v>0.7093193089348877</v>
      </c>
      <c r="T32" s="55"/>
      <c r="U32" s="55">
        <v>0.70917661424637257</v>
      </c>
      <c r="V32" s="55">
        <v>0.70918589233586882</v>
      </c>
      <c r="W32" s="55">
        <v>0.70917767896812312</v>
      </c>
      <c r="X32" s="55">
        <v>0.70918454681460652</v>
      </c>
      <c r="Y32" s="55">
        <v>0.70918454681460652</v>
      </c>
      <c r="Z32" s="55"/>
      <c r="AA32" s="55">
        <v>0.70921623160883229</v>
      </c>
      <c r="AB32" s="55">
        <v>0.70917259684869727</v>
      </c>
      <c r="AC32" s="55"/>
      <c r="AD32" s="55"/>
      <c r="AE32" s="55"/>
      <c r="AF32" s="55"/>
      <c r="AG32" s="55"/>
      <c r="AH32" s="55"/>
      <c r="AI32" s="60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>
        <v>0.70934772553877046</v>
      </c>
      <c r="AY32" s="55"/>
      <c r="AZ32" s="55"/>
      <c r="BA32" s="55"/>
      <c r="BB32" s="55"/>
      <c r="BC32" s="55"/>
      <c r="BD32" s="55"/>
      <c r="BE32" s="55"/>
      <c r="BF32" s="55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</row>
    <row r="33" spans="1:98" x14ac:dyDescent="0.3">
      <c r="A33" s="4">
        <v>6</v>
      </c>
      <c r="E33" s="55">
        <v>0.71029360600735736</v>
      </c>
      <c r="F33" s="55">
        <v>0.71026698128445576</v>
      </c>
      <c r="G33" s="55">
        <v>0.71025185050000939</v>
      </c>
      <c r="H33" s="55">
        <v>0.71024594972351585</v>
      </c>
      <c r="I33" s="55">
        <v>0.71024915023310653</v>
      </c>
      <c r="J33" s="55">
        <v>0.71027087292855662</v>
      </c>
      <c r="K33" s="55">
        <v>0.71025583483180066</v>
      </c>
      <c r="L33" s="55">
        <v>0.71025583483180066</v>
      </c>
      <c r="M33" s="55">
        <v>0.71024813882744198</v>
      </c>
      <c r="N33" s="55">
        <v>0.71025315297331348</v>
      </c>
      <c r="O33" s="55">
        <v>0.7102513821300469</v>
      </c>
      <c r="P33" s="60"/>
      <c r="Q33" s="55">
        <v>0.70447946018032748</v>
      </c>
      <c r="R33" s="55">
        <v>0.71312314062714832</v>
      </c>
      <c r="S33" s="55">
        <v>0.70932695654050415</v>
      </c>
      <c r="T33" s="55"/>
      <c r="U33" s="55">
        <v>0.70917323412055999</v>
      </c>
      <c r="V33" s="55">
        <v>0.70917052234622924</v>
      </c>
      <c r="W33" s="55">
        <v>0.7091712953424768</v>
      </c>
      <c r="X33" s="55">
        <v>0.70917989679014604</v>
      </c>
      <c r="Y33" s="55">
        <v>0.70917989679014604</v>
      </c>
      <c r="Z33" s="55"/>
      <c r="AA33" s="55">
        <v>0.70917479091571078</v>
      </c>
      <c r="AB33" s="55">
        <v>0.70917808998749854</v>
      </c>
      <c r="AC33" s="55"/>
      <c r="AD33" s="55"/>
      <c r="AE33" s="55"/>
      <c r="AF33" s="55"/>
      <c r="AG33" s="55"/>
      <c r="AH33" s="55"/>
      <c r="AI33" s="60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>
        <v>0.70933648941633998</v>
      </c>
      <c r="AY33" s="55"/>
      <c r="AZ33" s="55"/>
      <c r="BA33" s="55"/>
      <c r="BB33" s="55"/>
      <c r="BC33" s="55"/>
      <c r="BD33" s="55"/>
      <c r="BE33" s="55"/>
      <c r="BF33" s="55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</row>
    <row r="34" spans="1:98" x14ac:dyDescent="0.3">
      <c r="A34" s="4">
        <v>7</v>
      </c>
      <c r="E34" s="55">
        <v>0.71020610085407776</v>
      </c>
      <c r="F34" s="55">
        <v>0.7102753819476334</v>
      </c>
      <c r="G34" s="55">
        <v>0.71025470423603243</v>
      </c>
      <c r="H34" s="55">
        <v>0.71024253545170468</v>
      </c>
      <c r="I34" s="55">
        <v>0.71024815936746377</v>
      </c>
      <c r="J34" s="55">
        <v>0.71025859106533196</v>
      </c>
      <c r="K34" s="55">
        <v>0.71026435741077165</v>
      </c>
      <c r="L34" s="55">
        <v>0.71026435741077165</v>
      </c>
      <c r="M34" s="55">
        <v>0.71023609925594633</v>
      </c>
      <c r="N34" s="55">
        <v>0.71024581958167121</v>
      </c>
      <c r="O34" s="55">
        <v>0.71026364064481051</v>
      </c>
      <c r="P34" s="60"/>
      <c r="Q34" s="55">
        <v>0.70447565634365339</v>
      </c>
      <c r="R34" s="55">
        <v>0.71312661958219603</v>
      </c>
      <c r="S34" s="55">
        <v>0.70930312792635763</v>
      </c>
      <c r="T34" s="55"/>
      <c r="U34" s="55">
        <v>0.70917139040077226</v>
      </c>
      <c r="V34" s="55">
        <v>0.70916622563205223</v>
      </c>
      <c r="W34" s="55">
        <v>0.70919197028573078</v>
      </c>
      <c r="X34" s="55">
        <v>0.70917318979348809</v>
      </c>
      <c r="Y34" s="55">
        <v>0.70917318979348809</v>
      </c>
      <c r="Z34" s="55"/>
      <c r="AA34" s="55">
        <v>0.70917473796153374</v>
      </c>
      <c r="AB34" s="55">
        <v>0.70919178751899692</v>
      </c>
      <c r="AC34" s="55"/>
      <c r="AD34" s="55"/>
      <c r="AE34" s="55"/>
      <c r="AF34" s="55"/>
      <c r="AG34" s="55"/>
      <c r="AH34" s="55"/>
      <c r="AI34" s="60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>
        <v>0.70934116703838657</v>
      </c>
      <c r="AY34" s="55"/>
      <c r="AZ34" s="55"/>
      <c r="BA34" s="55"/>
      <c r="BB34" s="55"/>
      <c r="BC34" s="55"/>
      <c r="BD34" s="55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</row>
    <row r="35" spans="1:98" x14ac:dyDescent="0.3">
      <c r="A35" s="4">
        <v>8</v>
      </c>
      <c r="E35" s="55">
        <v>0.71028862689217764</v>
      </c>
      <c r="F35" s="55">
        <v>0.71024802953948263</v>
      </c>
      <c r="G35" s="55">
        <v>0.71026707076499718</v>
      </c>
      <c r="H35" s="55">
        <v>0.71025880778129358</v>
      </c>
      <c r="I35" s="55">
        <v>0.71024334637322772</v>
      </c>
      <c r="J35" s="55">
        <v>0.71026304718671096</v>
      </c>
      <c r="K35" s="55">
        <v>0.71024822614257954</v>
      </c>
      <c r="L35" s="55">
        <v>0.71024822614257954</v>
      </c>
      <c r="M35" s="55">
        <v>0.71024312669427669</v>
      </c>
      <c r="N35" s="55">
        <v>0.7102455901339827</v>
      </c>
      <c r="O35" s="55">
        <v>0.71023040763326617</v>
      </c>
      <c r="P35" s="60"/>
      <c r="Q35" s="55">
        <v>0.70447243540426274</v>
      </c>
      <c r="R35" s="55">
        <v>0.71311948373698197</v>
      </c>
      <c r="S35" s="55">
        <v>0.70929557261182896</v>
      </c>
      <c r="T35" s="55"/>
      <c r="U35" s="55">
        <v>0.70918315500432116</v>
      </c>
      <c r="V35" s="55">
        <v>0.70919049167444226</v>
      </c>
      <c r="W35" s="55">
        <v>0.70917781475870845</v>
      </c>
      <c r="X35" s="55"/>
      <c r="Y35" s="55">
        <v>0.70918856199121694</v>
      </c>
      <c r="Z35" s="55"/>
      <c r="AA35" s="55"/>
      <c r="AB35" s="55"/>
      <c r="AC35" s="55"/>
      <c r="AD35" s="55"/>
      <c r="AE35" s="55"/>
      <c r="AF35" s="55"/>
      <c r="AG35" s="55"/>
      <c r="AH35" s="55"/>
      <c r="AI35" s="60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4"/>
      <c r="BA35" s="55"/>
      <c r="BB35" s="55"/>
      <c r="BC35" s="55"/>
      <c r="BD35" s="55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</row>
    <row r="36" spans="1:98" x14ac:dyDescent="0.3">
      <c r="A36" s="4">
        <v>9</v>
      </c>
      <c r="E36" s="55">
        <v>0.71025293499573761</v>
      </c>
      <c r="F36" s="55">
        <v>0.71025292578419863</v>
      </c>
      <c r="G36" s="55">
        <v>0.71025037497010934</v>
      </c>
      <c r="H36" s="55">
        <v>0.71023454750920001</v>
      </c>
      <c r="I36" s="55">
        <v>0.71024583061386815</v>
      </c>
      <c r="J36" s="55">
        <v>0.71025848545401382</v>
      </c>
      <c r="K36" s="55">
        <v>0.71024895848626834</v>
      </c>
      <c r="L36" s="55">
        <v>0.71024895848626834</v>
      </c>
      <c r="M36" s="55">
        <v>0.71025328634762408</v>
      </c>
      <c r="N36" s="55">
        <v>0.71025240495842246</v>
      </c>
      <c r="O36" s="55">
        <v>0.71024713111761295</v>
      </c>
      <c r="P36" s="60"/>
      <c r="Q36" s="55">
        <v>0.70447404242761202</v>
      </c>
      <c r="R36" s="55">
        <v>0.71310945584861019</v>
      </c>
      <c r="S36" s="55">
        <v>0.7093283047110277</v>
      </c>
      <c r="T36" s="55"/>
      <c r="U36" s="55">
        <v>0.709175904997008</v>
      </c>
      <c r="V36" s="55">
        <v>0.70919017327710288</v>
      </c>
      <c r="W36" s="55">
        <v>0.70918217987854359</v>
      </c>
      <c r="X36" s="55"/>
      <c r="Y36" s="55">
        <v>0.70918087890639869</v>
      </c>
      <c r="Z36" s="55"/>
      <c r="AA36" s="55"/>
      <c r="AB36" s="55"/>
      <c r="AC36" s="55"/>
      <c r="AD36" s="55"/>
      <c r="AE36" s="55"/>
      <c r="AF36" s="55"/>
      <c r="AG36" s="55"/>
      <c r="AH36" s="55"/>
      <c r="AI36" s="60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</row>
    <row r="37" spans="1:98" x14ac:dyDescent="0.3">
      <c r="A37" s="4">
        <v>10</v>
      </c>
      <c r="E37" s="55"/>
      <c r="F37" s="55">
        <v>0.71027183119100934</v>
      </c>
      <c r="G37" s="55">
        <v>0.71023730672107144</v>
      </c>
      <c r="H37" s="55">
        <v>0.71025602331915705</v>
      </c>
      <c r="I37" s="55">
        <v>0.71024791060119974</v>
      </c>
      <c r="J37" s="55">
        <v>0.71026366960134368</v>
      </c>
      <c r="K37" s="55">
        <v>0.71024678233211191</v>
      </c>
      <c r="L37" s="55">
        <v>0.71024678233211191</v>
      </c>
      <c r="M37" s="55">
        <v>0.71023741346458424</v>
      </c>
      <c r="N37" s="55">
        <v>0.71025609814277135</v>
      </c>
      <c r="O37" s="55">
        <v>0.71024413574317868</v>
      </c>
      <c r="P37" s="60"/>
      <c r="Q37" s="55">
        <v>0.70447931287295595</v>
      </c>
      <c r="R37" s="55">
        <v>0.71311459535856681</v>
      </c>
      <c r="S37" s="55">
        <v>0.70929978084512824</v>
      </c>
      <c r="T37" s="55"/>
      <c r="U37" s="55">
        <v>0.70917036265623035</v>
      </c>
      <c r="V37" s="55">
        <v>0.70918172970102566</v>
      </c>
      <c r="W37" s="55">
        <v>0.7091844810074116</v>
      </c>
      <c r="X37" s="55"/>
      <c r="Y37" s="55">
        <v>0.70918321746905999</v>
      </c>
      <c r="Z37" s="55"/>
      <c r="AA37" s="55"/>
      <c r="AB37" s="55"/>
      <c r="AC37" s="55"/>
      <c r="AD37" s="55"/>
      <c r="AE37" s="55"/>
      <c r="AF37" s="55"/>
      <c r="AG37" s="55"/>
      <c r="AH37" s="55"/>
      <c r="AI37" s="60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</row>
    <row r="38" spans="1:98" x14ac:dyDescent="0.3">
      <c r="A38" s="4">
        <v>11</v>
      </c>
      <c r="E38" s="55"/>
      <c r="F38" s="55">
        <v>0.71023863611633142</v>
      </c>
      <c r="G38" s="55">
        <v>0.71024338162867862</v>
      </c>
      <c r="H38" s="55">
        <v>0.7102590776811667</v>
      </c>
      <c r="I38" s="55">
        <v>0.71024919328891312</v>
      </c>
      <c r="J38" s="55">
        <v>0.71025700385424551</v>
      </c>
      <c r="K38" s="55">
        <v>0.71023452945268595</v>
      </c>
      <c r="L38" s="55">
        <v>0.71023452945268595</v>
      </c>
      <c r="M38" s="55">
        <v>0.71024443841635099</v>
      </c>
      <c r="N38" s="55">
        <v>0.71025754360170212</v>
      </c>
      <c r="O38" s="55">
        <v>0.71026936846494992</v>
      </c>
      <c r="P38" s="60"/>
      <c r="Q38" s="55">
        <v>0.70449051725780243</v>
      </c>
      <c r="R38" s="55">
        <v>0.71311941972869808</v>
      </c>
      <c r="S38" s="55">
        <v>0.70931496790400428</v>
      </c>
      <c r="T38" s="55"/>
      <c r="U38" s="55">
        <v>0.70917574303068165</v>
      </c>
      <c r="V38" s="55">
        <v>0.70918383298817855</v>
      </c>
      <c r="W38" s="55">
        <v>0.70918310980218213</v>
      </c>
      <c r="X38" s="55"/>
      <c r="Y38" s="55">
        <v>0.70917643695843113</v>
      </c>
      <c r="Z38" s="55"/>
      <c r="AA38" s="55"/>
      <c r="AB38" s="55"/>
      <c r="AC38" s="55"/>
      <c r="AD38" s="55"/>
      <c r="AE38" s="55"/>
      <c r="AF38" s="55"/>
      <c r="AG38" s="55"/>
      <c r="AH38" s="55"/>
      <c r="AI38" s="60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</row>
    <row r="39" spans="1:98" x14ac:dyDescent="0.3">
      <c r="A39" s="4">
        <v>12</v>
      </c>
      <c r="E39" s="55"/>
      <c r="F39" s="55">
        <v>0.71028557635710299</v>
      </c>
      <c r="G39" s="55">
        <v>0.71024423779155554</v>
      </c>
      <c r="H39" s="55">
        <v>0.71025158011923073</v>
      </c>
      <c r="I39" s="55">
        <v>0.71024389756168738</v>
      </c>
      <c r="J39" s="55">
        <v>0.71025549398056609</v>
      </c>
      <c r="K39" s="55">
        <v>0.71025796124682095</v>
      </c>
      <c r="L39" s="55">
        <v>0.71025796124682095</v>
      </c>
      <c r="M39" s="55">
        <v>0.71022970282341602</v>
      </c>
      <c r="N39" s="55">
        <v>0.71024826255254603</v>
      </c>
      <c r="O39" s="55">
        <v>0.71026176136609553</v>
      </c>
      <c r="P39" s="60"/>
      <c r="Q39" s="55">
        <v>0.70447979878574496</v>
      </c>
      <c r="R39" s="55">
        <v>0.71313405555618969</v>
      </c>
      <c r="S39" s="55">
        <v>0.70932695654050415</v>
      </c>
      <c r="T39" s="55"/>
      <c r="U39" s="55">
        <v>0.70917557571863177</v>
      </c>
      <c r="V39" s="55">
        <v>0.70917536957458116</v>
      </c>
      <c r="W39" s="55">
        <v>0.70919261590452964</v>
      </c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60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</row>
    <row r="40" spans="1:98" x14ac:dyDescent="0.3">
      <c r="A40" s="4">
        <v>13</v>
      </c>
      <c r="E40" s="55"/>
      <c r="F40" s="55">
        <v>0.71025969441252679</v>
      </c>
      <c r="G40" s="55">
        <v>0.71026816768091816</v>
      </c>
      <c r="H40" s="55">
        <v>0.7102585604043683</v>
      </c>
      <c r="I40" s="55">
        <v>0.71024541155616572</v>
      </c>
      <c r="J40" s="55">
        <v>0.71025400040460462</v>
      </c>
      <c r="K40" s="55">
        <v>0.71025061269698309</v>
      </c>
      <c r="L40" s="55">
        <v>0.71025061269698309</v>
      </c>
      <c r="M40" s="55">
        <v>0.71022102183635571</v>
      </c>
      <c r="N40" s="55">
        <v>0.71024920995090135</v>
      </c>
      <c r="O40" s="55">
        <v>0.71026307541172851</v>
      </c>
      <c r="P40" s="60"/>
      <c r="Q40" s="55">
        <v>0.70446226135473788</v>
      </c>
      <c r="R40" s="55">
        <v>0.71314796171126582</v>
      </c>
      <c r="S40" s="55">
        <v>0.70930312792635763</v>
      </c>
      <c r="T40" s="55"/>
      <c r="U40" s="55"/>
      <c r="V40" s="55">
        <v>0.7091799364488558</v>
      </c>
      <c r="W40" s="55">
        <v>0.70919486568705348</v>
      </c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60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</row>
    <row r="41" spans="1:98" x14ac:dyDescent="0.3">
      <c r="A41" s="4">
        <v>14</v>
      </c>
      <c r="E41" s="55"/>
      <c r="F41" s="55">
        <v>0.71024348420401284</v>
      </c>
      <c r="G41" s="55">
        <v>0.71026926443153882</v>
      </c>
      <c r="H41" s="55">
        <v>0.71024556686768014</v>
      </c>
      <c r="I41" s="55">
        <v>0.7102490746483664</v>
      </c>
      <c r="J41" s="55">
        <v>0.71024460613504636</v>
      </c>
      <c r="K41" s="55">
        <v>0.71022937811071474</v>
      </c>
      <c r="L41" s="55">
        <v>0.71022937811071474</v>
      </c>
      <c r="M41" s="55">
        <v>0.71021333292410405</v>
      </c>
      <c r="N41" s="55">
        <v>0.71025257668486719</v>
      </c>
      <c r="O41" s="55">
        <v>0.71025708227927398</v>
      </c>
      <c r="P41" s="60"/>
      <c r="Q41" s="55">
        <v>0.70447634115405366</v>
      </c>
      <c r="R41" s="55">
        <v>0.71310444478679902</v>
      </c>
      <c r="S41" s="55">
        <v>0.70929557261182896</v>
      </c>
      <c r="T41" s="55"/>
      <c r="U41" s="55"/>
      <c r="V41" s="55">
        <v>0.7091890139171827</v>
      </c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60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</row>
    <row r="42" spans="1:98" x14ac:dyDescent="0.3">
      <c r="A42" s="4">
        <v>15</v>
      </c>
      <c r="E42" s="55"/>
      <c r="F42" s="55">
        <v>0.71029242683287719</v>
      </c>
      <c r="G42" s="55">
        <v>0.71025203019929029</v>
      </c>
      <c r="H42" s="55">
        <v>0.71025332644978512</v>
      </c>
      <c r="I42" s="55">
        <v>0.71026285521623833</v>
      </c>
      <c r="J42" s="55">
        <v>0.71026497050122972</v>
      </c>
      <c r="K42" s="55">
        <v>0.7102500854460726</v>
      </c>
      <c r="L42" s="55">
        <v>0.7102500854460726</v>
      </c>
      <c r="M42" s="55">
        <v>0.71025427589814549</v>
      </c>
      <c r="N42" s="55">
        <v>0.71024648605905805</v>
      </c>
      <c r="O42" s="55">
        <v>0.71025599026532771</v>
      </c>
      <c r="P42" s="60"/>
      <c r="Q42" s="55">
        <v>0.70447990620548129</v>
      </c>
      <c r="R42" s="55">
        <v>0.71310468116662973</v>
      </c>
      <c r="S42" s="55">
        <v>0.7092975904665153</v>
      </c>
      <c r="T42" s="55"/>
      <c r="U42" s="55"/>
      <c r="V42" s="55">
        <v>0.70919076152823934</v>
      </c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60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</row>
    <row r="43" spans="1:98" x14ac:dyDescent="0.3">
      <c r="A43" s="4">
        <v>16</v>
      </c>
      <c r="E43" s="55"/>
      <c r="F43" s="55">
        <v>0.71026627730277569</v>
      </c>
      <c r="G43" s="55"/>
      <c r="H43" s="55">
        <v>0.71025516389469356</v>
      </c>
      <c r="I43" s="55">
        <v>0.71025742038558604</v>
      </c>
      <c r="J43" s="55">
        <v>0.71025136034328307</v>
      </c>
      <c r="K43" s="55">
        <v>0.71023468929941314</v>
      </c>
      <c r="L43" s="55">
        <v>0.71023468929941314</v>
      </c>
      <c r="M43" s="55">
        <v>0.7102474977002039</v>
      </c>
      <c r="N43" s="55">
        <v>0.71025607605576746</v>
      </c>
      <c r="O43" s="55">
        <v>0.71024532111320726</v>
      </c>
      <c r="P43" s="60"/>
      <c r="Q43" s="55">
        <v>0.70449369068571688</v>
      </c>
      <c r="R43" s="55">
        <v>0.71312177807847776</v>
      </c>
      <c r="S43" s="55">
        <v>0.7093283047110277</v>
      </c>
      <c r="T43" s="55"/>
      <c r="U43" s="55"/>
      <c r="V43" s="55">
        <v>0.70919668668417912</v>
      </c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60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</row>
    <row r="44" spans="1:98" x14ac:dyDescent="0.3">
      <c r="A44" s="4">
        <v>17</v>
      </c>
      <c r="E44" s="55"/>
      <c r="F44" s="55">
        <v>0.71025719029771783</v>
      </c>
      <c r="G44" s="55"/>
      <c r="H44" s="55">
        <v>0.71025572006527993</v>
      </c>
      <c r="I44" s="55">
        <v>0.71025978914079135</v>
      </c>
      <c r="J44" s="55">
        <v>0.71024575831744441</v>
      </c>
      <c r="K44" s="55">
        <v>0.71025620863115979</v>
      </c>
      <c r="L44" s="55">
        <v>0.71025620863115979</v>
      </c>
      <c r="M44" s="55">
        <v>0.71024771094735617</v>
      </c>
      <c r="N44" s="55">
        <v>0.71027428993641084</v>
      </c>
      <c r="O44" s="55">
        <v>0.7102720179217219</v>
      </c>
      <c r="P44" s="60"/>
      <c r="Q44" s="55">
        <v>0.70446697763000765</v>
      </c>
      <c r="R44" s="55">
        <v>0.71312719545770709</v>
      </c>
      <c r="S44" s="55">
        <v>0.70929978084512824</v>
      </c>
      <c r="T44" s="55"/>
      <c r="U44" s="55"/>
      <c r="V44" s="55">
        <v>0.7092039511623488</v>
      </c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60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</row>
    <row r="45" spans="1:98" x14ac:dyDescent="0.3">
      <c r="A45" s="4">
        <v>18</v>
      </c>
      <c r="E45" s="55"/>
      <c r="F45" s="55">
        <v>0.71026443966117347</v>
      </c>
      <c r="G45" s="55"/>
      <c r="H45" s="55">
        <v>0.71025320878627229</v>
      </c>
      <c r="I45" s="55">
        <v>0.71025799003951462</v>
      </c>
      <c r="J45" s="55">
        <v>0.7102496876446005</v>
      </c>
      <c r="K45" s="55">
        <v>0.71025501707375605</v>
      </c>
      <c r="L45" s="55">
        <v>0.71025501707375605</v>
      </c>
      <c r="M45" s="55">
        <v>0.71024989075763789</v>
      </c>
      <c r="N45" s="55">
        <v>0.7102566224479917</v>
      </c>
      <c r="O45" s="55">
        <v>0.71027207905028888</v>
      </c>
      <c r="P45" s="60"/>
      <c r="Q45" s="55">
        <v>0.70446668907791721</v>
      </c>
      <c r="R45" s="55">
        <v>0.71313931754253534</v>
      </c>
      <c r="S45" s="55">
        <v>0.70931496790400428</v>
      </c>
      <c r="T45" s="55"/>
      <c r="U45" s="55"/>
      <c r="V45" s="55">
        <v>0.70922607979409291</v>
      </c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60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</row>
    <row r="46" spans="1:98" x14ac:dyDescent="0.3">
      <c r="A46" s="4">
        <v>19</v>
      </c>
      <c r="E46" s="55"/>
      <c r="F46" s="55">
        <v>0.71025876173142533</v>
      </c>
      <c r="G46" s="55"/>
      <c r="H46" s="55">
        <v>0.71025131761242255</v>
      </c>
      <c r="I46" s="55">
        <v>0.7102605095475073</v>
      </c>
      <c r="J46" s="55">
        <v>0.71024614888139459</v>
      </c>
      <c r="K46" s="55">
        <v>0.71026377203429791</v>
      </c>
      <c r="L46" s="55">
        <v>0.71026377203429791</v>
      </c>
      <c r="M46" s="55">
        <v>0.71025099915920831</v>
      </c>
      <c r="N46" s="55">
        <v>0.71024152776974048</v>
      </c>
      <c r="O46" s="55">
        <v>0.71024723534400946</v>
      </c>
      <c r="P46" s="60"/>
      <c r="Q46" s="55">
        <v>0.7044727037960109</v>
      </c>
      <c r="R46" s="55">
        <v>0.71312096546360793</v>
      </c>
      <c r="S46" s="55">
        <v>0.70932244305609626</v>
      </c>
      <c r="T46" s="55"/>
      <c r="U46" s="55"/>
      <c r="V46" s="55">
        <v>0.70921103424092602</v>
      </c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60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</row>
    <row r="47" spans="1:98" x14ac:dyDescent="0.3">
      <c r="A47" s="4">
        <v>20</v>
      </c>
      <c r="E47" s="55"/>
      <c r="F47" s="55">
        <v>0.71026881999919544</v>
      </c>
      <c r="G47" s="55"/>
      <c r="H47" s="55">
        <v>0.71025956855567796</v>
      </c>
      <c r="I47" s="55">
        <v>0.71025967576129101</v>
      </c>
      <c r="J47" s="55">
        <v>0.71024019365533364</v>
      </c>
      <c r="K47" s="55">
        <v>0.71025014404689968</v>
      </c>
      <c r="L47" s="55">
        <v>0.71025014404689968</v>
      </c>
      <c r="M47" s="55">
        <v>0.71025915833749764</v>
      </c>
      <c r="N47" s="55">
        <v>0.71025500169030287</v>
      </c>
      <c r="O47" s="55">
        <v>0.71024974310273215</v>
      </c>
      <c r="P47" s="60"/>
      <c r="Q47" s="55">
        <v>0.70447577208888257</v>
      </c>
      <c r="R47" s="55">
        <v>0.71313054849248314</v>
      </c>
      <c r="S47" s="55">
        <v>0.70929764730967326</v>
      </c>
      <c r="T47" s="55"/>
      <c r="U47" s="55"/>
      <c r="V47" s="55">
        <v>0.70917860184579451</v>
      </c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60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</row>
    <row r="48" spans="1:98" x14ac:dyDescent="0.3">
      <c r="A48" s="4">
        <v>21</v>
      </c>
      <c r="E48" s="55"/>
      <c r="F48" s="55">
        <v>0.71024134977012543</v>
      </c>
      <c r="G48" s="55"/>
      <c r="H48" s="55">
        <v>0.71025258914456224</v>
      </c>
      <c r="I48" s="55">
        <v>0.71024096744109355</v>
      </c>
      <c r="J48" s="55">
        <v>0.710250082170087</v>
      </c>
      <c r="K48" s="55">
        <v>0.71026718165608227</v>
      </c>
      <c r="L48" s="55">
        <v>0.71026718165608227</v>
      </c>
      <c r="M48" s="55">
        <v>0.71026111950020299</v>
      </c>
      <c r="N48" s="55">
        <v>0.71025703064902268</v>
      </c>
      <c r="O48" s="55">
        <v>0.71027573733018812</v>
      </c>
      <c r="P48" s="60"/>
      <c r="Q48" s="55">
        <v>0.70446601689407262</v>
      </c>
      <c r="R48" s="55">
        <v>0.71311789493593747</v>
      </c>
      <c r="S48" s="55">
        <v>0.70933532696516099</v>
      </c>
      <c r="T48" s="55"/>
      <c r="U48" s="55"/>
      <c r="V48" s="55">
        <v>0.70918668334657564</v>
      </c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60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</row>
    <row r="49" spans="1:98" x14ac:dyDescent="0.3">
      <c r="A49" s="4">
        <v>22</v>
      </c>
      <c r="E49" s="55"/>
      <c r="F49" s="55">
        <v>0.71025858702728495</v>
      </c>
      <c r="G49" s="55"/>
      <c r="H49" s="55">
        <v>0.71025755263817514</v>
      </c>
      <c r="I49" s="55">
        <v>0.71025810704175185</v>
      </c>
      <c r="J49" s="55">
        <v>0.7102455294274691</v>
      </c>
      <c r="K49" s="55">
        <v>0.71024224448807316</v>
      </c>
      <c r="L49" s="55">
        <v>0.71024224448807316</v>
      </c>
      <c r="M49" s="55">
        <v>0.7102610442495616</v>
      </c>
      <c r="N49" s="55">
        <v>0.71025891978348354</v>
      </c>
      <c r="O49" s="55">
        <v>0.71025509418943467</v>
      </c>
      <c r="P49" s="60"/>
      <c r="Q49" s="55">
        <v>0.70448006506938465</v>
      </c>
      <c r="R49" s="55">
        <v>0.71313009174693565</v>
      </c>
      <c r="S49" s="55">
        <v>0.70929518968293115</v>
      </c>
      <c r="T49" s="55"/>
      <c r="U49" s="55"/>
      <c r="V49" s="55">
        <v>0.70918662635405993</v>
      </c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60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</row>
    <row r="50" spans="1:98" x14ac:dyDescent="0.3">
      <c r="A50" s="4">
        <v>23</v>
      </c>
      <c r="E50" s="55"/>
      <c r="F50" s="55">
        <v>0.71020534122477841</v>
      </c>
      <c r="G50" s="55"/>
      <c r="H50" s="55">
        <v>0.71026062568241388</v>
      </c>
      <c r="I50" s="55">
        <v>0.71025540042654833</v>
      </c>
      <c r="J50" s="55">
        <v>0.7102512381808429</v>
      </c>
      <c r="K50" s="55">
        <v>0.71024682295098385</v>
      </c>
      <c r="L50" s="55">
        <v>0.71024682295098385</v>
      </c>
      <c r="M50" s="55">
        <v>0.71025369172677411</v>
      </c>
      <c r="N50" s="55">
        <v>0.71027544057624425</v>
      </c>
      <c r="O50" s="55">
        <v>0.71024354173482063</v>
      </c>
      <c r="P50" s="60"/>
      <c r="Q50" s="55">
        <v>0.70447464170985896</v>
      </c>
      <c r="R50" s="55">
        <v>0.71311985285830326</v>
      </c>
      <c r="S50" s="55">
        <v>0.70929810585856867</v>
      </c>
      <c r="T50" s="55"/>
      <c r="U50" s="55"/>
      <c r="V50" s="55">
        <v>0.70917542602226202</v>
      </c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60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</row>
    <row r="51" spans="1:98" x14ac:dyDescent="0.3">
      <c r="A51" s="4">
        <v>24</v>
      </c>
      <c r="E51" s="55"/>
      <c r="F51" s="55">
        <v>0.71028763274724172</v>
      </c>
      <c r="G51" s="55"/>
      <c r="H51" s="55">
        <v>0.71025606098163785</v>
      </c>
      <c r="I51" s="55">
        <v>0.71025523989580186</v>
      </c>
      <c r="J51" s="55">
        <v>0.7102484954488103</v>
      </c>
      <c r="K51" s="55">
        <v>0.71025354570854737</v>
      </c>
      <c r="L51" s="55">
        <v>0.71025354570854737</v>
      </c>
      <c r="M51" s="55">
        <v>0.71027061964149063</v>
      </c>
      <c r="N51" s="55">
        <v>0.71026367077473518</v>
      </c>
      <c r="O51" s="55">
        <v>0.71025751589130837</v>
      </c>
      <c r="P51" s="60"/>
      <c r="Q51" s="55">
        <v>0.70448181866449899</v>
      </c>
      <c r="R51" s="55">
        <v>0.71312277807008539</v>
      </c>
      <c r="S51" s="55">
        <v>0.70929966824418056</v>
      </c>
      <c r="T51" s="55"/>
      <c r="U51" s="55"/>
      <c r="V51" s="55">
        <v>0.70918203145451242</v>
      </c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60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</row>
    <row r="52" spans="1:98" x14ac:dyDescent="0.3">
      <c r="A52" s="4">
        <v>25</v>
      </c>
      <c r="E52" s="55"/>
      <c r="F52" s="55">
        <v>0.71024915601640703</v>
      </c>
      <c r="G52" s="55"/>
      <c r="H52" s="55">
        <v>0.71025803708970547</v>
      </c>
      <c r="I52" s="55">
        <v>0.7102690804854318</v>
      </c>
      <c r="J52" s="55">
        <v>0.71024858241337763</v>
      </c>
      <c r="K52" s="55">
        <v>0.71025222798908016</v>
      </c>
      <c r="L52" s="55">
        <v>0.71025222798908016</v>
      </c>
      <c r="M52" s="55">
        <v>0.71026672175471117</v>
      </c>
      <c r="N52" s="55">
        <v>0.71026020486059493</v>
      </c>
      <c r="O52" s="55">
        <v>0.71025979518900306</v>
      </c>
      <c r="P52" s="60"/>
      <c r="Q52" s="55">
        <v>0.70448018247643251</v>
      </c>
      <c r="R52" s="55">
        <v>0.71308606591479906</v>
      </c>
      <c r="S52" s="55">
        <v>0.70931430973012854</v>
      </c>
      <c r="T52" s="55"/>
      <c r="U52" s="55"/>
      <c r="V52" s="55">
        <v>0.7091718019837655</v>
      </c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60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</row>
    <row r="53" spans="1:98" x14ac:dyDescent="0.3">
      <c r="A53" s="4">
        <v>26</v>
      </c>
      <c r="E53" s="55"/>
      <c r="F53" s="55">
        <v>0.71025506824577778</v>
      </c>
      <c r="G53" s="55"/>
      <c r="H53" s="55">
        <v>0.71027005368708773</v>
      </c>
      <c r="I53" s="55">
        <v>0.71026434152116769</v>
      </c>
      <c r="J53" s="55">
        <v>0.71026082856358175</v>
      </c>
      <c r="K53" s="55">
        <v>0.71024273763193668</v>
      </c>
      <c r="L53" s="55">
        <v>0.71024273763193668</v>
      </c>
      <c r="M53" s="55">
        <v>0.71026813281354551</v>
      </c>
      <c r="N53" s="55">
        <v>0.71025920591839575</v>
      </c>
      <c r="O53" s="55">
        <v>0.71026140676456961</v>
      </c>
      <c r="P53" s="60"/>
      <c r="Q53" s="55">
        <v>0.70447558934279852</v>
      </c>
      <c r="R53" s="55">
        <v>0.71311787314908137</v>
      </c>
      <c r="S53" s="55">
        <v>0.70932011862902189</v>
      </c>
      <c r="T53" s="55"/>
      <c r="U53" s="55"/>
      <c r="V53" s="55">
        <v>0.70917069925235843</v>
      </c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60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</row>
    <row r="54" spans="1:98" x14ac:dyDescent="0.3">
      <c r="A54" s="4">
        <v>27</v>
      </c>
      <c r="E54" s="55"/>
      <c r="F54" s="55">
        <v>0.7102496535356867</v>
      </c>
      <c r="G54" s="55"/>
      <c r="H54" s="55">
        <v>0.71025167682701518</v>
      </c>
      <c r="I54" s="55">
        <v>0.71026116245072268</v>
      </c>
      <c r="J54" s="55">
        <v>0.71025053694851259</v>
      </c>
      <c r="K54" s="55">
        <v>0.71026606189312658</v>
      </c>
      <c r="L54" s="55">
        <v>0.71026606189312658</v>
      </c>
      <c r="M54" s="55">
        <v>0.71025255193100623</v>
      </c>
      <c r="N54" s="55">
        <v>0.71024361659992319</v>
      </c>
      <c r="O54" s="55">
        <v>0.71026935294075833</v>
      </c>
      <c r="P54" s="60"/>
      <c r="Q54" s="55">
        <v>0.70445162745500245</v>
      </c>
      <c r="R54" s="55">
        <v>0.71312474348791166</v>
      </c>
      <c r="S54" s="55">
        <v>0.70929248838858971</v>
      </c>
      <c r="T54" s="55"/>
      <c r="U54" s="55"/>
      <c r="V54" s="55">
        <v>0.70918704099788266</v>
      </c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60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</row>
    <row r="55" spans="1:98" x14ac:dyDescent="0.3">
      <c r="A55" s="4">
        <v>28</v>
      </c>
      <c r="E55" s="55"/>
      <c r="F55" s="55">
        <v>0.71024182533316782</v>
      </c>
      <c r="G55" s="55"/>
      <c r="H55" s="55">
        <v>0.71025329565760253</v>
      </c>
      <c r="I55" s="55">
        <v>0.71026301017851912</v>
      </c>
      <c r="J55" s="55">
        <v>0.71025930826169181</v>
      </c>
      <c r="K55" s="55">
        <v>0.71027378096520755</v>
      </c>
      <c r="L55" s="55">
        <v>0.71027378096520755</v>
      </c>
      <c r="M55" s="55">
        <v>0.71025715126905153</v>
      </c>
      <c r="N55" s="55">
        <v>0.71025310482670001</v>
      </c>
      <c r="O55" s="55">
        <v>0.71025500782098905</v>
      </c>
      <c r="P55" s="60"/>
      <c r="Q55" s="55">
        <v>0.70447135974907815</v>
      </c>
      <c r="R55" s="55">
        <v>0.7131230125825605</v>
      </c>
      <c r="S55" s="55">
        <v>0.70931681896393417</v>
      </c>
      <c r="T55" s="55"/>
      <c r="U55" s="55"/>
      <c r="V55" s="55">
        <v>0.7091819733346314</v>
      </c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60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</row>
    <row r="56" spans="1:98" x14ac:dyDescent="0.3">
      <c r="A56" s="4">
        <v>29</v>
      </c>
      <c r="E56" s="55"/>
      <c r="F56" s="55">
        <v>0.71025133435208565</v>
      </c>
      <c r="G56" s="55"/>
      <c r="H56" s="55">
        <v>0.71025627222053456</v>
      </c>
      <c r="I56" s="55">
        <v>0.71025358581443843</v>
      </c>
      <c r="J56" s="55">
        <v>0.71025745832970166</v>
      </c>
      <c r="K56" s="55">
        <v>0.71026708975286756</v>
      </c>
      <c r="L56" s="55">
        <v>0.71026708975286756</v>
      </c>
      <c r="M56" s="55">
        <v>0.71024152926475437</v>
      </c>
      <c r="N56" s="55">
        <v>0.71026172823569877</v>
      </c>
      <c r="O56" s="55">
        <v>0.71025097740389276</v>
      </c>
      <c r="P56" s="60"/>
      <c r="Q56" s="55">
        <v>0.70447782907115464</v>
      </c>
      <c r="R56" s="55">
        <v>0.71312158401139525</v>
      </c>
      <c r="S56" s="55">
        <v>0.7093193292963379</v>
      </c>
      <c r="T56" s="55"/>
      <c r="U56" s="55"/>
      <c r="V56" s="55">
        <v>0.7091898921054588</v>
      </c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60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</row>
    <row r="57" spans="1:98" x14ac:dyDescent="0.3">
      <c r="A57" s="4">
        <v>30</v>
      </c>
      <c r="E57" s="55"/>
      <c r="F57" s="55">
        <v>0.710253623916556</v>
      </c>
      <c r="G57" s="55"/>
      <c r="H57" s="55">
        <v>0.71025811723820576</v>
      </c>
      <c r="I57" s="55">
        <v>0.71025067382503349</v>
      </c>
      <c r="J57" s="55">
        <v>0.71026178180254129</v>
      </c>
      <c r="K57" s="55">
        <v>0.71023853144731064</v>
      </c>
      <c r="L57" s="55">
        <v>0.71023853144731064</v>
      </c>
      <c r="M57" s="55">
        <v>0.71032009448585565</v>
      </c>
      <c r="N57" s="55">
        <v>0.71024491960462266</v>
      </c>
      <c r="O57" s="55">
        <v>0.71025146200811373</v>
      </c>
      <c r="P57" s="60"/>
      <c r="Q57" s="55">
        <v>0.70448186660410572</v>
      </c>
      <c r="R57" s="55">
        <v>0.7131272137526049</v>
      </c>
      <c r="S57" s="55"/>
      <c r="T57" s="55"/>
      <c r="U57" s="55"/>
      <c r="V57" s="55">
        <v>0.70917266918791744</v>
      </c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60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</row>
    <row r="58" spans="1:98" x14ac:dyDescent="0.3">
      <c r="A58" s="4">
        <v>31</v>
      </c>
      <c r="E58" s="55"/>
      <c r="F58" s="55"/>
      <c r="G58" s="55"/>
      <c r="H58" s="55">
        <v>0.71025859374003919</v>
      </c>
      <c r="I58" s="55">
        <v>0.71025118609853632</v>
      </c>
      <c r="J58" s="55">
        <v>0.71025431881887557</v>
      </c>
      <c r="K58" s="55">
        <v>0.71025181060649356</v>
      </c>
      <c r="L58" s="55">
        <v>0.71025181060649356</v>
      </c>
      <c r="M58" s="55">
        <v>0.71027972142282836</v>
      </c>
      <c r="N58" s="55">
        <v>0.71025994868480735</v>
      </c>
      <c r="O58" s="55">
        <v>0.71024927788820857</v>
      </c>
      <c r="P58" s="60"/>
      <c r="Q58" s="55">
        <v>0.7044847266019072</v>
      </c>
      <c r="R58" s="55">
        <v>0.71312273150724637</v>
      </c>
      <c r="S58" s="55"/>
      <c r="T58" s="55"/>
      <c r="U58" s="55"/>
      <c r="V58" s="55">
        <v>0.70918484883844934</v>
      </c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60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</row>
    <row r="59" spans="1:98" x14ac:dyDescent="0.3">
      <c r="A59" s="4">
        <v>32</v>
      </c>
      <c r="E59" s="55"/>
      <c r="F59" s="55"/>
      <c r="G59" s="55"/>
      <c r="H59" s="55">
        <v>0.71026419570582966</v>
      </c>
      <c r="I59" s="55">
        <v>0.71025702467965324</v>
      </c>
      <c r="J59" s="55">
        <v>0.71026028915480899</v>
      </c>
      <c r="K59" s="55">
        <v>0.71025741278566812</v>
      </c>
      <c r="L59" s="55">
        <v>0.71025741278566812</v>
      </c>
      <c r="M59" s="55">
        <v>0.710282905025311</v>
      </c>
      <c r="N59" s="55">
        <v>0.71026996810668319</v>
      </c>
      <c r="O59" s="55">
        <v>0.71026449331499031</v>
      </c>
      <c r="P59" s="60"/>
      <c r="Q59" s="55">
        <v>0.70447647397399993</v>
      </c>
      <c r="R59" s="55">
        <v>0.7131301386743466</v>
      </c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60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</row>
    <row r="60" spans="1:98" x14ac:dyDescent="0.3">
      <c r="A60" s="4">
        <v>33</v>
      </c>
      <c r="E60" s="55"/>
      <c r="F60" s="55"/>
      <c r="G60" s="55"/>
      <c r="H60" s="55">
        <v>0.71024464294057932</v>
      </c>
      <c r="I60" s="55">
        <v>0.71026293486804837</v>
      </c>
      <c r="J60" s="55">
        <v>0.71026258358532712</v>
      </c>
      <c r="K60" s="55">
        <v>0.710268058081714</v>
      </c>
      <c r="L60" s="55">
        <v>0.710268058081714</v>
      </c>
      <c r="M60" s="55">
        <v>0.71026409154349646</v>
      </c>
      <c r="N60" s="55">
        <v>0.71027692820562405</v>
      </c>
      <c r="O60" s="55">
        <v>0.710252258220468</v>
      </c>
      <c r="P60" s="60"/>
      <c r="Q60" s="55">
        <v>0.70447583259780244</v>
      </c>
      <c r="R60" s="55">
        <v>0.71316580140394825</v>
      </c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60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</row>
    <row r="61" spans="1:98" x14ac:dyDescent="0.3">
      <c r="A61" s="4">
        <v>34</v>
      </c>
      <c r="E61" s="55"/>
      <c r="F61" s="55"/>
      <c r="G61" s="55"/>
      <c r="H61" s="55">
        <v>0.71025728121609499</v>
      </c>
      <c r="I61" s="55">
        <v>0.71026306666843986</v>
      </c>
      <c r="J61" s="55">
        <v>0.71025520186541069</v>
      </c>
      <c r="K61" s="55">
        <v>0.7102297718320657</v>
      </c>
      <c r="L61" s="55">
        <v>0.7102297718320657</v>
      </c>
      <c r="M61" s="55">
        <v>0.71026423805849681</v>
      </c>
      <c r="N61" s="55">
        <v>0.71024526107547437</v>
      </c>
      <c r="O61" s="55">
        <v>0.71025456458455682</v>
      </c>
      <c r="P61" s="60"/>
      <c r="Q61" s="55">
        <v>0.7044906364737078</v>
      </c>
      <c r="R61" s="55">
        <v>0.71312533300848502</v>
      </c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60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</row>
    <row r="62" spans="1:98" x14ac:dyDescent="0.3">
      <c r="A62" s="4">
        <v>35</v>
      </c>
      <c r="E62" s="55"/>
      <c r="F62" s="55"/>
      <c r="G62" s="55"/>
      <c r="H62" s="55">
        <v>0.71026127886656854</v>
      </c>
      <c r="I62" s="55">
        <v>0.71025987963651516</v>
      </c>
      <c r="J62" s="55">
        <v>0.71025288422591781</v>
      </c>
      <c r="K62" s="55">
        <v>0.71024119910427119</v>
      </c>
      <c r="L62" s="55">
        <v>0.71024119910427119</v>
      </c>
      <c r="M62" s="55">
        <v>0.71026769867272854</v>
      </c>
      <c r="N62" s="55">
        <v>0.71026117470130634</v>
      </c>
      <c r="O62" s="55">
        <v>0.71026269824406352</v>
      </c>
      <c r="P62" s="60"/>
      <c r="Q62" s="55"/>
      <c r="R62" s="55">
        <v>0.7131123649490223</v>
      </c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60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</row>
    <row r="63" spans="1:98" x14ac:dyDescent="0.3">
      <c r="A63" s="4">
        <v>36</v>
      </c>
      <c r="E63" s="55"/>
      <c r="F63" s="55"/>
      <c r="G63" s="55"/>
      <c r="H63" s="55">
        <v>0.71026072051931499</v>
      </c>
      <c r="I63" s="55">
        <v>0.71025360711650487</v>
      </c>
      <c r="J63" s="55">
        <v>0.71025400466941979</v>
      </c>
      <c r="K63" s="55">
        <v>0.7102568317755269</v>
      </c>
      <c r="L63" s="55">
        <v>0.7102568317755269</v>
      </c>
      <c r="M63" s="55">
        <v>0.71023669688926894</v>
      </c>
      <c r="N63" s="55">
        <v>0.71025741494836103</v>
      </c>
      <c r="O63" s="55">
        <v>0.71023790074825921</v>
      </c>
      <c r="P63" s="60"/>
      <c r="Q63" s="55"/>
      <c r="R63" s="55">
        <v>0.71313009174693565</v>
      </c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60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</row>
    <row r="64" spans="1:98" x14ac:dyDescent="0.3">
      <c r="A64" s="4">
        <v>37</v>
      </c>
      <c r="E64" s="55"/>
      <c r="F64" s="55"/>
      <c r="G64" s="55"/>
      <c r="H64" s="55">
        <v>0.71024854283045613</v>
      </c>
      <c r="I64" s="55">
        <v>0.71025187938168344</v>
      </c>
      <c r="J64" s="55">
        <v>0.71025622440150793</v>
      </c>
      <c r="K64" s="55">
        <v>0.71024204570174931</v>
      </c>
      <c r="L64" s="55">
        <v>0.71024204570174931</v>
      </c>
      <c r="M64" s="55">
        <v>0.71023919072061559</v>
      </c>
      <c r="N64" s="55">
        <v>0.71025552295085281</v>
      </c>
      <c r="O64" s="55">
        <v>0.71025635479651605</v>
      </c>
      <c r="P64" s="60"/>
      <c r="Q64" s="55"/>
      <c r="R64" s="55">
        <v>0.71311985285830326</v>
      </c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60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</row>
    <row r="65" spans="1:98" x14ac:dyDescent="0.3">
      <c r="A65" s="4">
        <v>38</v>
      </c>
      <c r="E65" s="55"/>
      <c r="F65" s="55"/>
      <c r="G65" s="55"/>
      <c r="H65" s="55">
        <v>0.71025638673528146</v>
      </c>
      <c r="I65" s="55">
        <v>0.71025614292806294</v>
      </c>
      <c r="J65" s="55">
        <v>0.71025429799904649</v>
      </c>
      <c r="K65" s="55">
        <v>0.7102699233000993</v>
      </c>
      <c r="L65" s="55">
        <v>0.7102699233000993</v>
      </c>
      <c r="M65" s="55">
        <v>0.71028100889182577</v>
      </c>
      <c r="N65" s="55">
        <v>0.71026757465082369</v>
      </c>
      <c r="O65" s="55">
        <v>0.71024016194708905</v>
      </c>
      <c r="P65" s="60"/>
      <c r="Q65" s="55"/>
      <c r="R65" s="55">
        <v>0.71312231095392542</v>
      </c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60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</row>
    <row r="66" spans="1:98" x14ac:dyDescent="0.3">
      <c r="A66" s="4">
        <v>39</v>
      </c>
      <c r="E66" s="55"/>
      <c r="F66" s="55"/>
      <c r="G66" s="55"/>
      <c r="H66" s="55">
        <v>0.71026522636789524</v>
      </c>
      <c r="I66" s="55">
        <v>0.71025554858033102</v>
      </c>
      <c r="J66" s="55">
        <v>0.71025657886530258</v>
      </c>
      <c r="K66" s="55">
        <v>0.71022388318029961</v>
      </c>
      <c r="L66" s="55">
        <v>0.71022388318029961</v>
      </c>
      <c r="M66" s="55">
        <v>0.71025741726979208</v>
      </c>
      <c r="N66" s="55">
        <v>0.71024964816685354</v>
      </c>
      <c r="O66" s="55">
        <v>0.71023956789268172</v>
      </c>
      <c r="P66" s="60"/>
      <c r="Q66" s="55"/>
      <c r="R66" s="55">
        <v>0.7131249807239467</v>
      </c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60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</row>
    <row r="67" spans="1:98" x14ac:dyDescent="0.3">
      <c r="A67" s="4">
        <v>40</v>
      </c>
      <c r="E67" s="55"/>
      <c r="F67" s="55"/>
      <c r="G67" s="55"/>
      <c r="H67" s="55">
        <v>0.71026384409910537</v>
      </c>
      <c r="I67" s="55">
        <v>0.71024572697754562</v>
      </c>
      <c r="J67" s="55">
        <v>0.71025690880142289</v>
      </c>
      <c r="K67" s="55">
        <v>0.71025060999664646</v>
      </c>
      <c r="L67" s="55">
        <v>0.71025060999664646</v>
      </c>
      <c r="M67" s="55">
        <v>0.71029014924271971</v>
      </c>
      <c r="N67" s="55">
        <v>0.71026131367696332</v>
      </c>
      <c r="O67" s="55">
        <v>0.71023873857836539</v>
      </c>
      <c r="P67" s="60"/>
      <c r="Q67" s="55"/>
      <c r="R67" s="55">
        <v>0.71308606591479906</v>
      </c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60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</row>
    <row r="68" spans="1:98" x14ac:dyDescent="0.3">
      <c r="A68" s="4">
        <v>41</v>
      </c>
      <c r="E68" s="55"/>
      <c r="F68" s="55"/>
      <c r="G68" s="55"/>
      <c r="H68" s="55">
        <v>0.71025371524129766</v>
      </c>
      <c r="I68" s="55">
        <v>0.71027022872436552</v>
      </c>
      <c r="J68" s="55">
        <v>0.7102464705388476</v>
      </c>
      <c r="K68" s="55">
        <v>0.71028245388399858</v>
      </c>
      <c r="L68" s="55">
        <v>0.71028245388399858</v>
      </c>
      <c r="M68" s="55">
        <v>0.7102762392284282</v>
      </c>
      <c r="N68" s="55">
        <v>0.71023800131978509</v>
      </c>
      <c r="O68" s="55">
        <v>0.71024822388098297</v>
      </c>
      <c r="P68" s="60"/>
      <c r="Q68" s="55"/>
      <c r="R68" s="55">
        <v>0.71311787314908137</v>
      </c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60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</row>
    <row r="69" spans="1:98" x14ac:dyDescent="0.3">
      <c r="A69" s="4">
        <v>42</v>
      </c>
      <c r="E69" s="55"/>
      <c r="F69" s="55"/>
      <c r="G69" s="55"/>
      <c r="H69" s="55">
        <v>0.7102622754610568</v>
      </c>
      <c r="I69" s="55">
        <v>0.71025594904703004</v>
      </c>
      <c r="J69" s="55">
        <v>0.71025433505293767</v>
      </c>
      <c r="K69" s="55">
        <v>0.71024563410853625</v>
      </c>
      <c r="L69" s="55">
        <v>0.71024563410853625</v>
      </c>
      <c r="M69" s="55">
        <v>0.71028562372298354</v>
      </c>
      <c r="N69" s="55">
        <v>0.71026611230702996</v>
      </c>
      <c r="O69" s="55">
        <v>0.710254549282481</v>
      </c>
      <c r="P69" s="60"/>
      <c r="Q69" s="55"/>
      <c r="R69" s="55">
        <v>0.71312474348791166</v>
      </c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60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</row>
    <row r="70" spans="1:98" x14ac:dyDescent="0.3">
      <c r="A70" s="4">
        <v>43</v>
      </c>
      <c r="E70" s="55"/>
      <c r="F70" s="55"/>
      <c r="G70" s="55"/>
      <c r="H70" s="55">
        <v>0.71025548512399983</v>
      </c>
      <c r="I70" s="55">
        <v>0.71026498776453828</v>
      </c>
      <c r="J70" s="55">
        <v>0.71026060675194402</v>
      </c>
      <c r="K70" s="55">
        <v>0.71025866399556314</v>
      </c>
      <c r="L70" s="55">
        <v>0.71025866399556314</v>
      </c>
      <c r="M70" s="55">
        <v>0.71027673268152225</v>
      </c>
      <c r="N70" s="55">
        <v>0.71024879414817432</v>
      </c>
      <c r="O70" s="55">
        <v>0.71025652988708288</v>
      </c>
      <c r="P70" s="60"/>
      <c r="Q70" s="55"/>
      <c r="R70" s="55">
        <v>0.71311079577445813</v>
      </c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60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</row>
    <row r="71" spans="1:98" x14ac:dyDescent="0.3">
      <c r="A71" s="4">
        <v>44</v>
      </c>
      <c r="E71" s="55"/>
      <c r="F71" s="55"/>
      <c r="G71" s="55"/>
      <c r="H71" s="55">
        <v>0.71026393007681954</v>
      </c>
      <c r="I71" s="55">
        <v>0.71025711959909243</v>
      </c>
      <c r="J71" s="55">
        <v>0.71026426069543225</v>
      </c>
      <c r="K71" s="55">
        <v>0.71025788331216944</v>
      </c>
      <c r="L71" s="55">
        <v>0.71025788331216944</v>
      </c>
      <c r="M71" s="55">
        <v>0.71027795619950784</v>
      </c>
      <c r="N71" s="55">
        <v>0.71026488562610723</v>
      </c>
      <c r="O71" s="55">
        <v>0.71025579528888849</v>
      </c>
      <c r="P71" s="60"/>
      <c r="Q71" s="55"/>
      <c r="R71" s="55">
        <v>0.7131230125825605</v>
      </c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60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</row>
    <row r="72" spans="1:98" x14ac:dyDescent="0.3">
      <c r="A72" s="4">
        <v>45</v>
      </c>
      <c r="E72" s="55"/>
      <c r="F72" s="55"/>
      <c r="G72" s="55"/>
      <c r="H72" s="55">
        <v>0.71025526893311053</v>
      </c>
      <c r="I72" s="55">
        <v>0.71027509221841778</v>
      </c>
      <c r="J72" s="55">
        <v>0.71026797646186424</v>
      </c>
      <c r="K72" s="55">
        <v>0.71024922447460248</v>
      </c>
      <c r="L72" s="55">
        <v>0.71024922447460248</v>
      </c>
      <c r="M72" s="55">
        <v>0.71027835965802733</v>
      </c>
      <c r="N72" s="55">
        <v>0.71025278125713354</v>
      </c>
      <c r="O72" s="55">
        <v>0.71023992465576746</v>
      </c>
      <c r="P72" s="60"/>
      <c r="Q72" s="55"/>
      <c r="R72" s="55">
        <v>0.71312158401139525</v>
      </c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60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</row>
    <row r="73" spans="1:98" x14ac:dyDescent="0.3">
      <c r="A73" s="4">
        <v>46</v>
      </c>
      <c r="E73" s="55"/>
      <c r="F73" s="55"/>
      <c r="G73" s="55"/>
      <c r="H73" s="55">
        <v>0.71025365014179009</v>
      </c>
      <c r="I73" s="55">
        <v>0.7102687461369942</v>
      </c>
      <c r="J73" s="55">
        <v>0.71026119483092487</v>
      </c>
      <c r="K73" s="55">
        <v>0.71025696253176418</v>
      </c>
      <c r="L73" s="55">
        <v>0.71025696253176418</v>
      </c>
      <c r="M73" s="55">
        <v>0.71027231140468783</v>
      </c>
      <c r="N73" s="55">
        <v>0.7102620240205727</v>
      </c>
      <c r="O73" s="55">
        <v>0.71027073958695608</v>
      </c>
      <c r="P73" s="60"/>
      <c r="Q73" s="55"/>
      <c r="R73" s="55">
        <v>0.7131272137526049</v>
      </c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60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</row>
    <row r="74" spans="1:98" x14ac:dyDescent="0.3">
      <c r="A74" s="4">
        <v>47</v>
      </c>
      <c r="E74" s="55"/>
      <c r="F74" s="55"/>
      <c r="G74" s="55"/>
      <c r="H74" s="55">
        <v>0.71026621697799341</v>
      </c>
      <c r="I74" s="55">
        <v>0.71024854063439158</v>
      </c>
      <c r="J74" s="55">
        <v>0.71026708525352411</v>
      </c>
      <c r="K74" s="55">
        <v>0.71025885066085992</v>
      </c>
      <c r="L74" s="55">
        <v>0.71025885066085992</v>
      </c>
      <c r="M74" s="55">
        <v>0.71026962714524766</v>
      </c>
      <c r="N74" s="55">
        <v>0.71026076035376351</v>
      </c>
      <c r="O74" s="55">
        <v>0.71024146119338882</v>
      </c>
      <c r="P74" s="60"/>
      <c r="Q74" s="55"/>
      <c r="R74" s="55">
        <v>0.71312273150724637</v>
      </c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60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</row>
    <row r="75" spans="1:98" x14ac:dyDescent="0.3">
      <c r="A75" s="4">
        <v>48</v>
      </c>
      <c r="E75" s="55"/>
      <c r="F75" s="55"/>
      <c r="G75" s="55"/>
      <c r="H75" s="55">
        <v>0.71025122046811229</v>
      </c>
      <c r="I75" s="55">
        <v>0.71026928223715435</v>
      </c>
      <c r="J75" s="55">
        <v>0.71027473223484727</v>
      </c>
      <c r="K75" s="55">
        <v>0.71027291608312126</v>
      </c>
      <c r="L75" s="55">
        <v>0.71027291608312126</v>
      </c>
      <c r="M75" s="55">
        <v>0.71026227962737598</v>
      </c>
      <c r="N75" s="55">
        <v>0.71026771401960442</v>
      </c>
      <c r="O75" s="55">
        <v>0.71024675043671937</v>
      </c>
      <c r="P75" s="60"/>
      <c r="Q75" s="55"/>
      <c r="R75" s="55">
        <v>0.7131301386743466</v>
      </c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60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</row>
    <row r="76" spans="1:98" x14ac:dyDescent="0.3">
      <c r="A76" s="4">
        <v>49</v>
      </c>
      <c r="E76" s="55"/>
      <c r="F76" s="55"/>
      <c r="G76" s="55"/>
      <c r="H76" s="55">
        <v>0.71025699753831917</v>
      </c>
      <c r="I76" s="55">
        <v>0.71026459393119623</v>
      </c>
      <c r="J76" s="55">
        <v>0.71026144690557613</v>
      </c>
      <c r="K76" s="55">
        <v>0.71023813397298141</v>
      </c>
      <c r="L76" s="55">
        <v>0.71023813397298141</v>
      </c>
      <c r="M76" s="55">
        <v>0.71028645802618062</v>
      </c>
      <c r="N76" s="55">
        <v>0.71024847913264622</v>
      </c>
      <c r="O76" s="55">
        <v>0.71025475963424134</v>
      </c>
      <c r="P76" s="60"/>
      <c r="Q76" s="55"/>
      <c r="R76" s="55">
        <v>0.71316580140394825</v>
      </c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60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</row>
    <row r="77" spans="1:98" x14ac:dyDescent="0.3">
      <c r="A77" s="4">
        <v>50</v>
      </c>
      <c r="E77" s="55"/>
      <c r="F77" s="55"/>
      <c r="G77" s="55"/>
      <c r="H77" s="55">
        <v>0.71025061061132766</v>
      </c>
      <c r="I77" s="55">
        <v>0.71026094285986374</v>
      </c>
      <c r="J77" s="55">
        <v>0.71024799036659947</v>
      </c>
      <c r="K77" s="55">
        <v>0.710255545732558</v>
      </c>
      <c r="L77" s="55">
        <v>0.710255545732558</v>
      </c>
      <c r="M77" s="55">
        <v>0.71028395121906907</v>
      </c>
      <c r="N77" s="55">
        <v>0.71025432352158935</v>
      </c>
      <c r="O77" s="55">
        <v>0.71025331357267607</v>
      </c>
      <c r="P77" s="60"/>
      <c r="Q77" s="55"/>
      <c r="R77" s="55">
        <v>0.71312533300848502</v>
      </c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60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</row>
    <row r="78" spans="1:98" x14ac:dyDescent="0.3">
      <c r="A78" s="4">
        <v>51</v>
      </c>
      <c r="E78" s="55"/>
      <c r="F78" s="55"/>
      <c r="G78" s="55"/>
      <c r="H78" s="55">
        <v>0.71024376565596359</v>
      </c>
      <c r="I78" s="55">
        <v>0.71024742813477548</v>
      </c>
      <c r="J78" s="55">
        <v>0.71025787252633588</v>
      </c>
      <c r="K78" s="55">
        <v>0.71026984677100391</v>
      </c>
      <c r="L78" s="55">
        <v>0.71026984677100391</v>
      </c>
      <c r="M78" s="55">
        <v>0.71027042156180153</v>
      </c>
      <c r="N78" s="55">
        <v>0.71025383731054581</v>
      </c>
      <c r="O78" s="55">
        <v>0.71025196926817058</v>
      </c>
      <c r="P78" s="60"/>
      <c r="Q78" s="55"/>
      <c r="R78" s="55">
        <v>0.7131123649490223</v>
      </c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60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</row>
    <row r="79" spans="1:98" x14ac:dyDescent="0.3">
      <c r="A79" s="4">
        <v>52</v>
      </c>
      <c r="E79" s="55"/>
      <c r="F79" s="55"/>
      <c r="G79" s="55"/>
      <c r="H79" s="55">
        <v>0.71025514036701431</v>
      </c>
      <c r="I79" s="55">
        <v>0.71024394128108281</v>
      </c>
      <c r="J79" s="55">
        <v>0.71025980671034039</v>
      </c>
      <c r="K79" s="55">
        <v>0.71023991272339337</v>
      </c>
      <c r="L79" s="55">
        <v>0.71023991272339337</v>
      </c>
      <c r="M79" s="55">
        <v>0.71026742000786491</v>
      </c>
      <c r="N79" s="55">
        <v>0.71023875428951266</v>
      </c>
      <c r="O79" s="55">
        <v>0.71026915523191159</v>
      </c>
      <c r="P79" s="60"/>
      <c r="Q79" s="55"/>
      <c r="R79" s="55">
        <v>0.7131413933643479</v>
      </c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60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</row>
    <row r="80" spans="1:98" x14ac:dyDescent="0.3">
      <c r="A80" s="4">
        <v>53</v>
      </c>
      <c r="E80" s="55"/>
      <c r="F80" s="55"/>
      <c r="G80" s="55"/>
      <c r="H80" s="55">
        <v>0.71026117827626245</v>
      </c>
      <c r="I80" s="55">
        <v>0.71025027423244347</v>
      </c>
      <c r="J80" s="55">
        <v>0.71024910159780086</v>
      </c>
      <c r="K80" s="55">
        <v>0.71025723358679804</v>
      </c>
      <c r="L80" s="55">
        <v>0.71025723358679804</v>
      </c>
      <c r="M80" s="55">
        <v>0.71026846653517361</v>
      </c>
      <c r="N80" s="55">
        <v>0.71024473171553937</v>
      </c>
      <c r="O80" s="55">
        <v>0.71026466825326118</v>
      </c>
      <c r="P80" s="60"/>
      <c r="Q80" s="55"/>
      <c r="R80" s="55">
        <v>0.71313786651021849</v>
      </c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60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</row>
    <row r="81" spans="1:98" x14ac:dyDescent="0.3">
      <c r="A81" s="4">
        <v>54</v>
      </c>
      <c r="E81" s="55"/>
      <c r="F81" s="55"/>
      <c r="G81" s="55"/>
      <c r="H81" s="55">
        <v>0.71026084496312625</v>
      </c>
      <c r="I81" s="55">
        <v>0.7102477384987772</v>
      </c>
      <c r="J81" s="55">
        <v>0.71024674329884008</v>
      </c>
      <c r="K81" s="55">
        <v>0.71024110746747449</v>
      </c>
      <c r="L81" s="55">
        <v>0.71024110746747449</v>
      </c>
      <c r="M81" s="55">
        <v>0.71026631053080402</v>
      </c>
      <c r="N81" s="55">
        <v>0.71025900988642388</v>
      </c>
      <c r="O81" s="55">
        <v>0.71024943878546409</v>
      </c>
      <c r="P81" s="60"/>
      <c r="Q81" s="55"/>
      <c r="R81" s="55">
        <v>0.71311569613410875</v>
      </c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60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</row>
    <row r="82" spans="1:98" x14ac:dyDescent="0.3">
      <c r="A82" s="4">
        <v>55</v>
      </c>
      <c r="E82" s="55"/>
      <c r="F82" s="55"/>
      <c r="G82" s="55"/>
      <c r="H82" s="55">
        <v>0.71026149807406891</v>
      </c>
      <c r="I82" s="55">
        <v>0.71025146389810612</v>
      </c>
      <c r="J82" s="55">
        <v>0.71024862930741439</v>
      </c>
      <c r="K82" s="55">
        <v>0.71024579178413338</v>
      </c>
      <c r="L82" s="55">
        <v>0.71024579178413338</v>
      </c>
      <c r="M82" s="55">
        <v>0.71027020586841172</v>
      </c>
      <c r="N82" s="55">
        <v>0.71026517635470565</v>
      </c>
      <c r="O82" s="55">
        <v>0.71025741679924881</v>
      </c>
      <c r="P82" s="60"/>
      <c r="Q82" s="55"/>
      <c r="R82" s="55">
        <v>0.71313736720915311</v>
      </c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60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</row>
    <row r="83" spans="1:98" x14ac:dyDescent="0.3">
      <c r="A83" s="4">
        <v>56</v>
      </c>
      <c r="E83" s="55"/>
      <c r="F83" s="55"/>
      <c r="G83" s="55"/>
      <c r="H83" s="55">
        <v>0.71024849263021983</v>
      </c>
      <c r="I83" s="55">
        <v>0.71025902959619647</v>
      </c>
      <c r="J83" s="55">
        <v>0.71025142687888332</v>
      </c>
      <c r="K83" s="55">
        <v>0.71028218709142932</v>
      </c>
      <c r="L83" s="55">
        <v>0.71028218709142932</v>
      </c>
      <c r="M83" s="55">
        <v>0.71027488392512506</v>
      </c>
      <c r="N83" s="55">
        <v>0.71024241957771239</v>
      </c>
      <c r="O83" s="55">
        <v>0.71026368238312831</v>
      </c>
      <c r="P83" s="60"/>
      <c r="Q83" s="55"/>
      <c r="R83" s="55">
        <v>0.71311977263883641</v>
      </c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60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</row>
    <row r="84" spans="1:98" x14ac:dyDescent="0.3">
      <c r="A84" s="4">
        <v>57</v>
      </c>
      <c r="E84" s="55"/>
      <c r="F84" s="55"/>
      <c r="G84" s="55"/>
      <c r="H84" s="55">
        <v>0.71025414520699537</v>
      </c>
      <c r="I84" s="55">
        <v>0.71024974229930105</v>
      </c>
      <c r="J84" s="55">
        <v>0.71025382478127685</v>
      </c>
      <c r="K84" s="55">
        <v>0.7102747124513743</v>
      </c>
      <c r="L84" s="55">
        <v>0.7102747124513743</v>
      </c>
      <c r="M84" s="55">
        <v>0.71027240726470786</v>
      </c>
      <c r="N84" s="55">
        <v>0.71025484431832131</v>
      </c>
      <c r="O84" s="55">
        <v>0.71026016283253934</v>
      </c>
      <c r="P84" s="60"/>
      <c r="Q84" s="55"/>
      <c r="R84" s="55">
        <v>0.71312109243567168</v>
      </c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60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</row>
    <row r="85" spans="1:98" x14ac:dyDescent="0.3">
      <c r="A85" s="4">
        <v>58</v>
      </c>
      <c r="E85" s="55"/>
      <c r="F85" s="55"/>
      <c r="G85" s="55"/>
      <c r="H85" s="55">
        <v>0.71025221395257321</v>
      </c>
      <c r="I85" s="55">
        <v>0.71025917801625726</v>
      </c>
      <c r="J85" s="55">
        <v>0.71025225772599498</v>
      </c>
      <c r="K85" s="55">
        <v>0.71026124340676222</v>
      </c>
      <c r="L85" s="55">
        <v>0.71026124340676222</v>
      </c>
      <c r="M85" s="55">
        <v>0.71026647249787012</v>
      </c>
      <c r="N85" s="55">
        <v>0.71025908077170408</v>
      </c>
      <c r="O85" s="55">
        <v>0.71025828081809383</v>
      </c>
      <c r="P85" s="60"/>
      <c r="Q85" s="55"/>
      <c r="R85" s="55">
        <v>0.71312407879765582</v>
      </c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60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</row>
    <row r="86" spans="1:98" x14ac:dyDescent="0.3">
      <c r="A86" s="4">
        <v>59</v>
      </c>
      <c r="E86" s="55"/>
      <c r="F86" s="55"/>
      <c r="G86" s="55"/>
      <c r="H86" s="55">
        <v>0.71024716092130624</v>
      </c>
      <c r="I86" s="55">
        <v>0.71024315417696271</v>
      </c>
      <c r="J86" s="55">
        <v>0.71024578302715335</v>
      </c>
      <c r="K86" s="55">
        <v>0.71026508333122806</v>
      </c>
      <c r="L86" s="55">
        <v>0.71026508333122806</v>
      </c>
      <c r="M86" s="55">
        <v>0.71026847583895281</v>
      </c>
      <c r="N86" s="55">
        <v>0.71024437908966187</v>
      </c>
      <c r="O86" s="55">
        <v>0.71025892694584969</v>
      </c>
      <c r="P86" s="60"/>
      <c r="Q86" s="55"/>
      <c r="R86" s="55">
        <v>0.71312332640920717</v>
      </c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60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</row>
    <row r="87" spans="1:98" x14ac:dyDescent="0.3">
      <c r="A87" s="4">
        <v>60</v>
      </c>
      <c r="E87" s="55"/>
      <c r="F87" s="55"/>
      <c r="G87" s="55"/>
      <c r="H87" s="55">
        <v>0.71024723711147131</v>
      </c>
      <c r="I87" s="55">
        <v>0.71024879319508383</v>
      </c>
      <c r="J87" s="55">
        <v>0.71025387356545189</v>
      </c>
      <c r="K87" s="55">
        <v>0.71026049768579513</v>
      </c>
      <c r="L87" s="55">
        <v>0.71026049768579513</v>
      </c>
      <c r="M87" s="55">
        <v>0.7102841950038592</v>
      </c>
      <c r="N87" s="55">
        <v>0.71025324189674865</v>
      </c>
      <c r="O87" s="55">
        <v>0.71025056932349051</v>
      </c>
      <c r="P87" s="60"/>
      <c r="Q87" s="55"/>
      <c r="R87" s="55">
        <v>0.71311596514386555</v>
      </c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60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</row>
    <row r="88" spans="1:98" x14ac:dyDescent="0.3">
      <c r="A88" s="4">
        <v>61</v>
      </c>
      <c r="E88" s="55"/>
      <c r="F88" s="55"/>
      <c r="G88" s="55"/>
      <c r="H88" s="55">
        <v>0.71025580462872506</v>
      </c>
      <c r="I88" s="55">
        <v>0.71025129235441053</v>
      </c>
      <c r="J88" s="55">
        <v>0.7102682295537659</v>
      </c>
      <c r="K88" s="55">
        <v>0.71022462920037011</v>
      </c>
      <c r="L88" s="55">
        <v>0.71022462920037011</v>
      </c>
      <c r="M88" s="55">
        <v>0.71025325885191659</v>
      </c>
      <c r="N88" s="55">
        <v>0.71025563964418958</v>
      </c>
      <c r="O88" s="55">
        <v>0.71023361683906927</v>
      </c>
      <c r="P88" s="60"/>
      <c r="Q88" s="55"/>
      <c r="R88" s="55">
        <v>0.71310644360549313</v>
      </c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60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</row>
    <row r="89" spans="1:98" x14ac:dyDescent="0.3">
      <c r="A89" s="4">
        <v>62</v>
      </c>
      <c r="E89" s="55"/>
      <c r="F89" s="55"/>
      <c r="G89" s="55"/>
      <c r="H89" s="55">
        <v>0.7102401153630391</v>
      </c>
      <c r="I89" s="55">
        <v>0.71024180375952684</v>
      </c>
      <c r="J89" s="55">
        <v>0.71025905813885604</v>
      </c>
      <c r="K89" s="55">
        <v>0.71025766659177203</v>
      </c>
      <c r="L89" s="55">
        <v>0.71025766659177203</v>
      </c>
      <c r="M89" s="55">
        <v>0.71026136813155905</v>
      </c>
      <c r="N89" s="55">
        <v>0.71027691079446076</v>
      </c>
      <c r="O89" s="55">
        <v>0.71025481863209206</v>
      </c>
      <c r="P89" s="60"/>
      <c r="Q89" s="55"/>
      <c r="R89" s="55">
        <v>0.71311177310392093</v>
      </c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60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</row>
    <row r="90" spans="1:98" x14ac:dyDescent="0.3">
      <c r="A90" s="4">
        <v>63</v>
      </c>
      <c r="E90" s="55"/>
      <c r="F90" s="55"/>
      <c r="G90" s="55"/>
      <c r="H90" s="55">
        <v>0.71026637150467342</v>
      </c>
      <c r="I90" s="55">
        <v>0.71025540371252238</v>
      </c>
      <c r="J90" s="55">
        <v>0.71025766425985903</v>
      </c>
      <c r="K90" s="55">
        <v>0.71026324883075587</v>
      </c>
      <c r="L90" s="55">
        <v>0.71026324883075587</v>
      </c>
      <c r="M90" s="55">
        <v>0.71026143764086136</v>
      </c>
      <c r="N90" s="55">
        <v>0.71025108179875251</v>
      </c>
      <c r="O90" s="55">
        <v>0.71026083847715171</v>
      </c>
      <c r="P90" s="60"/>
      <c r="Q90" s="55"/>
      <c r="R90" s="55">
        <v>0.71312068414439422</v>
      </c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60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</row>
    <row r="91" spans="1:98" x14ac:dyDescent="0.3">
      <c r="A91" s="4">
        <v>64</v>
      </c>
      <c r="E91" s="55"/>
      <c r="F91" s="55"/>
      <c r="G91" s="55"/>
      <c r="H91" s="55">
        <v>0.71026144555347492</v>
      </c>
      <c r="I91" s="55">
        <v>0.71025549999782556</v>
      </c>
      <c r="J91" s="55">
        <v>0.71026465892214641</v>
      </c>
      <c r="K91" s="55">
        <v>0.71027001737984852</v>
      </c>
      <c r="L91" s="55">
        <v>0.71027001737984852</v>
      </c>
      <c r="M91" s="55">
        <v>0.71026278238220819</v>
      </c>
      <c r="N91" s="55">
        <v>0.71024716398187726</v>
      </c>
      <c r="O91" s="55">
        <v>0.71025386848985139</v>
      </c>
      <c r="P91" s="60"/>
      <c r="Q91" s="55"/>
      <c r="R91" s="55">
        <v>0.71312532852856458</v>
      </c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60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</row>
    <row r="92" spans="1:98" x14ac:dyDescent="0.3">
      <c r="A92" s="4">
        <v>65</v>
      </c>
      <c r="E92" s="55"/>
      <c r="F92" s="55"/>
      <c r="G92" s="55"/>
      <c r="H92" s="55">
        <v>0.71024683472735983</v>
      </c>
      <c r="I92" s="55">
        <v>0.71026639682867265</v>
      </c>
      <c r="J92" s="55">
        <v>0.71024553672251356</v>
      </c>
      <c r="K92" s="55">
        <v>0.71025716105098713</v>
      </c>
      <c r="L92" s="55">
        <v>0.71025716105098713</v>
      </c>
      <c r="M92" s="55">
        <v>0.7102553798271285</v>
      </c>
      <c r="N92" s="55">
        <v>0.71023059659097976</v>
      </c>
      <c r="O92" s="55">
        <v>0.71024561637004024</v>
      </c>
      <c r="P92" s="60"/>
      <c r="Q92" s="55"/>
      <c r="R92" s="55">
        <v>0.71312344336583811</v>
      </c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60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</row>
    <row r="93" spans="1:98" x14ac:dyDescent="0.3">
      <c r="A93" s="4">
        <v>66</v>
      </c>
      <c r="E93" s="55"/>
      <c r="F93" s="55"/>
      <c r="G93" s="55"/>
      <c r="H93" s="55">
        <v>0.71025654287343876</v>
      </c>
      <c r="I93" s="55">
        <v>0.71026130865869475</v>
      </c>
      <c r="J93" s="55">
        <v>0.71025277870842762</v>
      </c>
      <c r="K93" s="55">
        <v>0.71024406647460148</v>
      </c>
      <c r="L93" s="55">
        <v>0.71024406647460148</v>
      </c>
      <c r="M93" s="55">
        <v>0.71025115909729786</v>
      </c>
      <c r="N93" s="55">
        <v>0.71024848619771852</v>
      </c>
      <c r="O93" s="55">
        <v>0.71024978632928304</v>
      </c>
      <c r="P93" s="60"/>
      <c r="Q93" s="55"/>
      <c r="R93" s="55">
        <v>0.7131268283985962</v>
      </c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60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</row>
    <row r="94" spans="1:98" x14ac:dyDescent="0.3">
      <c r="A94" s="4">
        <v>67</v>
      </c>
      <c r="E94" s="55"/>
      <c r="F94" s="55"/>
      <c r="G94" s="55"/>
      <c r="H94" s="55">
        <v>0.71027333871230469</v>
      </c>
      <c r="I94" s="55">
        <v>0.71025854410918932</v>
      </c>
      <c r="J94" s="55">
        <v>0.7102464842147499</v>
      </c>
      <c r="K94" s="55">
        <v>0.71024333788729788</v>
      </c>
      <c r="L94" s="55">
        <v>0.71024333788729788</v>
      </c>
      <c r="M94" s="55">
        <v>0.71025683582243249</v>
      </c>
      <c r="N94" s="55">
        <v>0.71024398782347697</v>
      </c>
      <c r="O94" s="55">
        <v>0.7102523982206943</v>
      </c>
      <c r="P94" s="60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60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</row>
    <row r="95" spans="1:98" x14ac:dyDescent="0.3">
      <c r="A95" s="4">
        <v>68</v>
      </c>
      <c r="E95" s="55"/>
      <c r="F95" s="55"/>
      <c r="G95" s="55"/>
      <c r="H95" s="55">
        <v>0.71025156636985964</v>
      </c>
      <c r="I95" s="55">
        <v>0.71025569742569317</v>
      </c>
      <c r="J95" s="55">
        <v>0.71025562896736771</v>
      </c>
      <c r="K95" s="55">
        <v>0.71025624349772054</v>
      </c>
      <c r="L95" s="55">
        <v>0.71025624349772054</v>
      </c>
      <c r="M95" s="55">
        <v>0.71024940908625933</v>
      </c>
      <c r="N95" s="55">
        <v>0.71025497838116713</v>
      </c>
      <c r="O95" s="55">
        <v>0.71025138066094007</v>
      </c>
      <c r="P95" s="60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60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</row>
    <row r="96" spans="1:98" x14ac:dyDescent="0.3">
      <c r="A96" s="4">
        <v>69</v>
      </c>
      <c r="E96" s="55"/>
      <c r="F96" s="55"/>
      <c r="G96" s="55"/>
      <c r="H96" s="55">
        <v>0.71026475267752065</v>
      </c>
      <c r="I96" s="55">
        <v>0.71024704327781352</v>
      </c>
      <c r="J96" s="55">
        <v>0.71025380773461111</v>
      </c>
      <c r="K96" s="55">
        <v>0.71025254425077244</v>
      </c>
      <c r="L96" s="55">
        <v>0.71025254425077244</v>
      </c>
      <c r="M96" s="55">
        <v>0.71025215108588791</v>
      </c>
      <c r="N96" s="55">
        <v>0.71025449322324263</v>
      </c>
      <c r="O96" s="55">
        <v>0.71025557469504574</v>
      </c>
      <c r="P96" s="60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60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</row>
    <row r="97" spans="1:98" x14ac:dyDescent="0.3">
      <c r="A97" s="4">
        <v>70</v>
      </c>
      <c r="E97" s="55"/>
      <c r="F97" s="55"/>
      <c r="G97" s="55"/>
      <c r="H97" s="55">
        <v>0.71025106379244729</v>
      </c>
      <c r="I97" s="55">
        <v>0.71025924917159722</v>
      </c>
      <c r="J97" s="55">
        <v>0.71024382312012024</v>
      </c>
      <c r="K97" s="55">
        <v>0.71025450680546631</v>
      </c>
      <c r="L97" s="55">
        <v>0.71025450680546631</v>
      </c>
      <c r="M97" s="55">
        <v>0.71024589386604753</v>
      </c>
      <c r="N97" s="55">
        <v>0.71025196904475141</v>
      </c>
      <c r="O97" s="55">
        <v>0.71024384713652144</v>
      </c>
      <c r="P97" s="60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60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</row>
    <row r="98" spans="1:98" x14ac:dyDescent="0.3">
      <c r="A98" s="4">
        <v>71</v>
      </c>
      <c r="E98" s="55"/>
      <c r="F98" s="55"/>
      <c r="G98" s="55"/>
      <c r="H98" s="55">
        <v>0.71025194315672657</v>
      </c>
      <c r="I98" s="55">
        <v>0.710248995886409</v>
      </c>
      <c r="J98" s="55">
        <v>0.7102614509286298</v>
      </c>
      <c r="K98" s="55">
        <v>0.71024881268315654</v>
      </c>
      <c r="L98" s="55">
        <v>0.71024881268315654</v>
      </c>
      <c r="M98" s="55">
        <v>0.71025518791610631</v>
      </c>
      <c r="N98" s="55">
        <v>0.71024433011702726</v>
      </c>
      <c r="O98" s="55">
        <v>0.71025479851575801</v>
      </c>
      <c r="P98" s="60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60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</row>
    <row r="99" spans="1:98" x14ac:dyDescent="0.3">
      <c r="A99" s="4">
        <v>72</v>
      </c>
      <c r="E99" s="55"/>
      <c r="F99" s="55"/>
      <c r="G99" s="55"/>
      <c r="H99" s="55">
        <v>0.71025788384750255</v>
      </c>
      <c r="I99" s="55">
        <v>0.71024700312419142</v>
      </c>
      <c r="J99" s="55">
        <v>0.7102615875686531</v>
      </c>
      <c r="K99" s="55">
        <v>0.71029000831450217</v>
      </c>
      <c r="L99" s="55">
        <v>0.71029000831450217</v>
      </c>
      <c r="M99" s="55">
        <v>0.71023773663647971</v>
      </c>
      <c r="N99" s="55">
        <v>0.71025463304577674</v>
      </c>
      <c r="O99" s="55">
        <v>0.71024283185267878</v>
      </c>
      <c r="P99" s="60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60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</row>
    <row r="100" spans="1:98" x14ac:dyDescent="0.3">
      <c r="A100" s="4">
        <v>73</v>
      </c>
      <c r="E100" s="55"/>
      <c r="F100" s="55"/>
      <c r="G100" s="55"/>
      <c r="H100" s="55">
        <v>0.71025805990985347</v>
      </c>
      <c r="I100" s="55">
        <v>0.71025147169228531</v>
      </c>
      <c r="J100" s="55">
        <v>0.71025140230461081</v>
      </c>
      <c r="K100" s="55">
        <v>0.71022861009732774</v>
      </c>
      <c r="L100" s="55">
        <v>0.71022861009732774</v>
      </c>
      <c r="M100" s="55">
        <v>0.71023624036365929</v>
      </c>
      <c r="N100" s="55">
        <v>0.71026401931224925</v>
      </c>
      <c r="O100" s="55">
        <v>0.71025107245259245</v>
      </c>
      <c r="P100" s="60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60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</row>
    <row r="101" spans="1:98" x14ac:dyDescent="0.3">
      <c r="A101" s="4">
        <v>74</v>
      </c>
      <c r="E101" s="55"/>
      <c r="F101" s="55"/>
      <c r="G101" s="55"/>
      <c r="H101" s="55">
        <v>0.71025338430554585</v>
      </c>
      <c r="I101" s="55">
        <v>0.71024840137856671</v>
      </c>
      <c r="J101" s="55">
        <v>0.71024972902257366</v>
      </c>
      <c r="K101" s="55">
        <v>0.71022670899321816</v>
      </c>
      <c r="L101" s="55">
        <v>0.71022670899321816</v>
      </c>
      <c r="M101" s="55">
        <v>0.710260900776436</v>
      </c>
      <c r="N101" s="55">
        <v>0.71025170093049494</v>
      </c>
      <c r="O101" s="55">
        <v>0.71026123179914347</v>
      </c>
      <c r="P101" s="60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60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</row>
    <row r="102" spans="1:98" x14ac:dyDescent="0.3">
      <c r="A102" s="4">
        <v>75</v>
      </c>
      <c r="E102" s="55"/>
      <c r="F102" s="55"/>
      <c r="G102" s="55"/>
      <c r="H102" s="55">
        <v>0.71026621006434898</v>
      </c>
      <c r="I102" s="55">
        <v>0.71025016144406172</v>
      </c>
      <c r="J102" s="55">
        <v>0.71025161344777632</v>
      </c>
      <c r="K102" s="55">
        <v>0.71025777355982334</v>
      </c>
      <c r="L102" s="55">
        <v>0.71025777355982334</v>
      </c>
      <c r="M102" s="55">
        <v>0.71024813205805648</v>
      </c>
      <c r="N102" s="55">
        <v>0.71025119776050871</v>
      </c>
      <c r="O102" s="55">
        <v>0.71025239416817232</v>
      </c>
      <c r="P102" s="60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60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</row>
    <row r="103" spans="1:98" x14ac:dyDescent="0.3">
      <c r="A103" s="4">
        <v>76</v>
      </c>
      <c r="E103" s="55"/>
      <c r="F103" s="55"/>
      <c r="G103" s="55"/>
      <c r="H103" s="55">
        <v>0.71025056230192973</v>
      </c>
      <c r="I103" s="55">
        <v>0.71025182703269152</v>
      </c>
      <c r="J103" s="55">
        <v>0.71026323674677805</v>
      </c>
      <c r="K103" s="55">
        <v>0.71025665350140132</v>
      </c>
      <c r="L103" s="55">
        <v>0.71025665350140132</v>
      </c>
      <c r="M103" s="55">
        <v>0.71025901296528704</v>
      </c>
      <c r="N103" s="55">
        <v>0.71025916837918068</v>
      </c>
      <c r="O103" s="55">
        <v>0.71024218704562436</v>
      </c>
      <c r="P103" s="60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60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</row>
    <row r="104" spans="1:98" x14ac:dyDescent="0.3">
      <c r="A104" s="4">
        <v>77</v>
      </c>
      <c r="E104" s="55"/>
      <c r="F104" s="55"/>
      <c r="G104" s="55"/>
      <c r="H104" s="55">
        <v>0.71025050371606324</v>
      </c>
      <c r="I104" s="55">
        <v>0.71024879765611926</v>
      </c>
      <c r="J104" s="55">
        <v>0.71024653726564124</v>
      </c>
      <c r="K104" s="55">
        <v>0.71025765021590614</v>
      </c>
      <c r="L104" s="55">
        <v>0.71025765021590614</v>
      </c>
      <c r="M104" s="55">
        <v>0.71023702232149377</v>
      </c>
      <c r="N104" s="55">
        <v>0.71023089025958497</v>
      </c>
      <c r="O104" s="55">
        <v>0.71025934614892605</v>
      </c>
      <c r="P104" s="60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60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</row>
    <row r="105" spans="1:98" x14ac:dyDescent="0.3">
      <c r="A105" s="4">
        <v>78</v>
      </c>
      <c r="E105" s="55"/>
      <c r="F105" s="55"/>
      <c r="G105" s="55"/>
      <c r="H105" s="55">
        <v>0.71024936452420884</v>
      </c>
      <c r="I105" s="55">
        <v>0.71025356283052832</v>
      </c>
      <c r="J105" s="55">
        <v>0.71026628280494264</v>
      </c>
      <c r="K105" s="55">
        <v>0.7102717405388741</v>
      </c>
      <c r="L105" s="55">
        <v>0.7102717405388741</v>
      </c>
      <c r="M105" s="55">
        <v>0.71026306029714914</v>
      </c>
      <c r="N105" s="55">
        <v>0.71024995078235986</v>
      </c>
      <c r="O105" s="55">
        <v>0.71027202612464957</v>
      </c>
      <c r="P105" s="60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60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</row>
    <row r="106" spans="1:98" x14ac:dyDescent="0.3">
      <c r="A106" s="4">
        <v>79</v>
      </c>
      <c r="E106" s="55"/>
      <c r="F106" s="55"/>
      <c r="G106" s="55"/>
      <c r="H106" s="55">
        <v>0.71024434128642411</v>
      </c>
      <c r="I106" s="55">
        <v>0.71025929770297713</v>
      </c>
      <c r="J106" s="55">
        <v>0.71025234120909841</v>
      </c>
      <c r="K106" s="55">
        <v>0.71028397299871671</v>
      </c>
      <c r="L106" s="55">
        <v>0.71028397299871671</v>
      </c>
      <c r="M106" s="55">
        <v>0.71024150852705581</v>
      </c>
      <c r="N106" s="55">
        <v>0.71025578979650861</v>
      </c>
      <c r="O106" s="55">
        <v>0.71025189135299549</v>
      </c>
      <c r="P106" s="60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60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</row>
    <row r="107" spans="1:98" x14ac:dyDescent="0.3">
      <c r="A107" s="4">
        <v>80</v>
      </c>
      <c r="E107" s="55"/>
      <c r="F107" s="55"/>
      <c r="G107" s="55"/>
      <c r="H107" s="55">
        <v>0.71027136980144501</v>
      </c>
      <c r="I107" s="55">
        <v>0.71025916841796</v>
      </c>
      <c r="J107" s="55">
        <v>0.71025706285940726</v>
      </c>
      <c r="K107" s="55">
        <v>0.71025812593521043</v>
      </c>
      <c r="L107" s="55">
        <v>0.71025812593521043</v>
      </c>
      <c r="M107" s="55">
        <v>0.7102444537941156</v>
      </c>
      <c r="N107" s="55">
        <v>0.71026751392028542</v>
      </c>
      <c r="O107" s="55">
        <v>0.71025744666504931</v>
      </c>
      <c r="P107" s="60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60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</row>
    <row r="108" spans="1:98" x14ac:dyDescent="0.3">
      <c r="A108" s="4">
        <v>81</v>
      </c>
      <c r="E108" s="55"/>
      <c r="F108" s="55"/>
      <c r="G108" s="55"/>
      <c r="H108" s="55">
        <v>0.7102549255276529</v>
      </c>
      <c r="I108" s="55">
        <v>0.71024712546778157</v>
      </c>
      <c r="J108" s="55">
        <v>0.71025771918128366</v>
      </c>
      <c r="K108" s="55">
        <v>0.71026004887315941</v>
      </c>
      <c r="L108" s="55">
        <v>0.71026004887315941</v>
      </c>
      <c r="M108" s="55">
        <v>0.71024482658457599</v>
      </c>
      <c r="N108" s="55">
        <v>0.71025492045515126</v>
      </c>
      <c r="O108" s="55">
        <v>0.71027946787674201</v>
      </c>
      <c r="P108" s="60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60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</row>
    <row r="109" spans="1:98" x14ac:dyDescent="0.3">
      <c r="A109" s="4">
        <v>82</v>
      </c>
      <c r="E109" s="55"/>
      <c r="F109" s="55"/>
      <c r="G109" s="55"/>
      <c r="H109" s="55">
        <v>0.71024751340141656</v>
      </c>
      <c r="I109" s="55">
        <v>0.71026124537331492</v>
      </c>
      <c r="J109" s="55">
        <v>0.71027650536804687</v>
      </c>
      <c r="K109" s="55">
        <v>0.71026358816676338</v>
      </c>
      <c r="L109" s="55">
        <v>0.71026358816676338</v>
      </c>
      <c r="M109" s="55">
        <v>0.71023412040199863</v>
      </c>
      <c r="N109" s="55">
        <v>0.71025655101302809</v>
      </c>
      <c r="O109" s="55">
        <v>0.71023876923731255</v>
      </c>
      <c r="P109" s="60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60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</row>
    <row r="110" spans="1:98" x14ac:dyDescent="0.3">
      <c r="A110" s="4">
        <v>83</v>
      </c>
      <c r="E110" s="55"/>
      <c r="F110" s="55"/>
      <c r="G110" s="55"/>
      <c r="H110" s="55">
        <v>0.71025375416891234</v>
      </c>
      <c r="I110" s="55">
        <v>0.7102504913762705</v>
      </c>
      <c r="J110" s="55">
        <v>0.71025492884105201</v>
      </c>
      <c r="K110" s="55">
        <v>0.71027458455802395</v>
      </c>
      <c r="L110" s="55">
        <v>0.71027458455802395</v>
      </c>
      <c r="M110" s="55">
        <v>0.71025055238280221</v>
      </c>
      <c r="N110" s="55">
        <v>0.71025684044041393</v>
      </c>
      <c r="O110" s="55">
        <v>0.7102851410362655</v>
      </c>
      <c r="P110" s="60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60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</row>
    <row r="111" spans="1:98" x14ac:dyDescent="0.3">
      <c r="A111" s="4">
        <v>84</v>
      </c>
      <c r="E111" s="55"/>
      <c r="F111" s="55"/>
      <c r="G111" s="55"/>
      <c r="H111" s="55">
        <v>0.71025214111793611</v>
      </c>
      <c r="I111" s="55">
        <v>0.71024410953171346</v>
      </c>
      <c r="J111" s="55">
        <v>0.71025290059065915</v>
      </c>
      <c r="K111" s="55">
        <v>0.71023965086715035</v>
      </c>
      <c r="L111" s="55">
        <v>0.71023965086715035</v>
      </c>
      <c r="M111" s="55">
        <v>0.71025657315414903</v>
      </c>
      <c r="N111" s="55">
        <v>0.71024617898737274</v>
      </c>
      <c r="O111" s="55">
        <v>0.71024213389354018</v>
      </c>
      <c r="P111" s="60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60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</row>
    <row r="112" spans="1:98" x14ac:dyDescent="0.3">
      <c r="A112" s="4">
        <v>85</v>
      </c>
      <c r="E112" s="55"/>
      <c r="F112" s="55"/>
      <c r="G112" s="55"/>
      <c r="H112" s="55">
        <v>0.71025750292607759</v>
      </c>
      <c r="I112" s="55">
        <v>0.71025917986468989</v>
      </c>
      <c r="J112" s="55">
        <v>0.71025309297153028</v>
      </c>
      <c r="K112" s="55">
        <v>0.71024986643771593</v>
      </c>
      <c r="L112" s="55">
        <v>0.71024986643771593</v>
      </c>
      <c r="M112" s="55">
        <v>0.71024116234487567</v>
      </c>
      <c r="N112" s="55">
        <v>0.71023854103557749</v>
      </c>
      <c r="O112" s="55">
        <v>0.71026150364999308</v>
      </c>
      <c r="P112" s="60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60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</row>
    <row r="113" spans="1:98" x14ac:dyDescent="0.3">
      <c r="A113" s="4">
        <v>86</v>
      </c>
      <c r="E113" s="55"/>
      <c r="F113" s="55"/>
      <c r="G113" s="55"/>
      <c r="H113" s="55">
        <v>0.71026148365261854</v>
      </c>
      <c r="I113" s="55">
        <v>0.71025659331485669</v>
      </c>
      <c r="J113" s="55">
        <v>0.71025294355165924</v>
      </c>
      <c r="K113" s="55">
        <v>0.71025397692883974</v>
      </c>
      <c r="L113" s="55">
        <v>0.71025397692883974</v>
      </c>
      <c r="M113" s="55">
        <v>0.71024471322532423</v>
      </c>
      <c r="N113" s="55">
        <v>0.71028605229376829</v>
      </c>
      <c r="O113" s="55">
        <v>0.71024884022064771</v>
      </c>
      <c r="P113" s="60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60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</row>
    <row r="114" spans="1:98" x14ac:dyDescent="0.3">
      <c r="A114" s="4">
        <v>87</v>
      </c>
      <c r="E114" s="55"/>
      <c r="F114" s="55"/>
      <c r="G114" s="55"/>
      <c r="H114" s="55">
        <v>0.71025579116083482</v>
      </c>
      <c r="I114" s="55">
        <v>0.71025346209536921</v>
      </c>
      <c r="J114" s="55">
        <v>0.71025783579627133</v>
      </c>
      <c r="K114" s="55">
        <v>0.71024771815348853</v>
      </c>
      <c r="L114" s="55">
        <v>0.71024771815348853</v>
      </c>
      <c r="M114" s="55">
        <v>0.71025069485159797</v>
      </c>
      <c r="N114" s="55">
        <v>0.71025435062347719</v>
      </c>
      <c r="O114" s="55">
        <v>0.71025199507237924</v>
      </c>
      <c r="P114" s="60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60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</row>
    <row r="115" spans="1:98" x14ac:dyDescent="0.3">
      <c r="A115" s="4">
        <v>88</v>
      </c>
      <c r="E115" s="55"/>
      <c r="F115" s="55"/>
      <c r="G115" s="55"/>
      <c r="H115" s="55">
        <v>0.71025538731857585</v>
      </c>
      <c r="I115" s="55">
        <v>0.71026100535454528</v>
      </c>
      <c r="J115" s="55">
        <v>0.71025169555864665</v>
      </c>
      <c r="K115" s="55">
        <v>0.71027943146988526</v>
      </c>
      <c r="L115" s="55">
        <v>0.71027943146988526</v>
      </c>
      <c r="M115" s="55">
        <v>0.71025200301267866</v>
      </c>
      <c r="N115" s="55">
        <v>0.71025985549067594</v>
      </c>
      <c r="O115" s="55">
        <v>0.71026149060077826</v>
      </c>
      <c r="P115" s="60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60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</row>
    <row r="116" spans="1:98" x14ac:dyDescent="0.3">
      <c r="A116" s="4">
        <v>89</v>
      </c>
      <c r="E116" s="55"/>
      <c r="F116" s="55"/>
      <c r="G116" s="55"/>
      <c r="H116" s="55">
        <v>0.71025490364723776</v>
      </c>
      <c r="I116" s="55">
        <v>0.71024704597378285</v>
      </c>
      <c r="J116" s="55">
        <v>0.7102516923186637</v>
      </c>
      <c r="K116" s="55">
        <v>0.71022264978503546</v>
      </c>
      <c r="L116" s="55">
        <v>0.71022264978503546</v>
      </c>
      <c r="M116" s="55">
        <v>0.710249749797911</v>
      </c>
      <c r="N116" s="55">
        <v>0.71026020697408043</v>
      </c>
      <c r="O116" s="55">
        <v>0.71024745671727496</v>
      </c>
      <c r="P116" s="60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60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</row>
    <row r="117" spans="1:98" x14ac:dyDescent="0.3">
      <c r="A117" s="4">
        <v>90</v>
      </c>
      <c r="E117" s="55"/>
      <c r="F117" s="55"/>
      <c r="G117" s="55"/>
      <c r="H117" s="55">
        <v>0.71025233693177792</v>
      </c>
      <c r="I117" s="55">
        <v>0.71026038271507042</v>
      </c>
      <c r="J117" s="55">
        <v>0.71024600129532456</v>
      </c>
      <c r="K117" s="55">
        <v>0.71025065938132448</v>
      </c>
      <c r="L117" s="55">
        <v>0.71025065938132448</v>
      </c>
      <c r="M117" s="55">
        <v>0.71022819537492987</v>
      </c>
      <c r="N117" s="55">
        <v>0.71026669181694124</v>
      </c>
      <c r="O117" s="55">
        <v>0.71026025454699959</v>
      </c>
      <c r="P117" s="60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60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</row>
    <row r="118" spans="1:98" x14ac:dyDescent="0.3">
      <c r="A118" s="4">
        <v>91</v>
      </c>
      <c r="E118" s="55"/>
      <c r="F118" s="55"/>
      <c r="G118" s="55"/>
      <c r="H118" s="55">
        <v>0.71025021458210569</v>
      </c>
      <c r="I118" s="55">
        <v>0.71025832637530339</v>
      </c>
      <c r="J118" s="55">
        <v>0.7102462079046834</v>
      </c>
      <c r="K118" s="55">
        <v>0.71028009863082187</v>
      </c>
      <c r="L118" s="55">
        <v>0.71028009863082187</v>
      </c>
      <c r="M118" s="55">
        <v>0.71023324590459236</v>
      </c>
      <c r="N118" s="55">
        <v>0.71025091123236694</v>
      </c>
      <c r="O118" s="55">
        <v>0.71025092614402019</v>
      </c>
      <c r="P118" s="60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60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</row>
    <row r="119" spans="1:98" x14ac:dyDescent="0.3">
      <c r="A119" s="4">
        <v>92</v>
      </c>
      <c r="E119" s="55"/>
      <c r="F119" s="55"/>
      <c r="G119" s="55"/>
      <c r="H119" s="55">
        <v>0.71025558068819972</v>
      </c>
      <c r="I119" s="55">
        <v>0.71026152396960018</v>
      </c>
      <c r="J119" s="55">
        <v>0.71024778547799061</v>
      </c>
      <c r="K119" s="55">
        <v>0.71027111937436815</v>
      </c>
      <c r="L119" s="55">
        <v>0.71027111937436815</v>
      </c>
      <c r="M119" s="55">
        <v>0.71023783639055482</v>
      </c>
      <c r="N119" s="55">
        <v>0.71022960879134345</v>
      </c>
      <c r="O119" s="55">
        <v>0.71025492509814214</v>
      </c>
      <c r="P119" s="60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60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</row>
    <row r="120" spans="1:98" x14ac:dyDescent="0.3">
      <c r="A120" s="4">
        <v>93</v>
      </c>
      <c r="E120" s="55"/>
      <c r="F120" s="55"/>
      <c r="G120" s="55"/>
      <c r="H120" s="55">
        <v>0.71026373807022114</v>
      </c>
      <c r="I120" s="55">
        <v>0.71026267522051101</v>
      </c>
      <c r="J120" s="55">
        <v>0.71025720026449413</v>
      </c>
      <c r="K120" s="55">
        <v>0.71025935445647304</v>
      </c>
      <c r="L120" s="55">
        <v>0.71025935445647304</v>
      </c>
      <c r="M120" s="55">
        <v>0.71024305189063142</v>
      </c>
      <c r="N120" s="55">
        <v>0.71026791994404281</v>
      </c>
      <c r="O120" s="55">
        <v>0.71027843745805086</v>
      </c>
      <c r="P120" s="60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60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</row>
    <row r="121" spans="1:98" x14ac:dyDescent="0.3">
      <c r="A121" s="4">
        <v>94</v>
      </c>
      <c r="E121" s="55"/>
      <c r="F121" s="55"/>
      <c r="G121" s="55"/>
      <c r="H121" s="55">
        <v>0.71024843212915412</v>
      </c>
      <c r="I121" s="55">
        <v>0.71025330937757758</v>
      </c>
      <c r="J121" s="55">
        <v>0.71025160704262036</v>
      </c>
      <c r="K121" s="55">
        <v>0.71021759063157475</v>
      </c>
      <c r="L121" s="55">
        <v>0.71021759063157475</v>
      </c>
      <c r="M121" s="55">
        <v>0.71024841034697195</v>
      </c>
      <c r="N121" s="55">
        <v>0.71025589960278368</v>
      </c>
      <c r="O121" s="55">
        <v>0.71025771094389067</v>
      </c>
      <c r="P121" s="60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60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</row>
    <row r="122" spans="1:98" x14ac:dyDescent="0.3">
      <c r="A122" s="4">
        <v>95</v>
      </c>
      <c r="E122" s="55"/>
      <c r="F122" s="55"/>
      <c r="G122" s="55"/>
      <c r="H122" s="55">
        <v>0.71024231300034135</v>
      </c>
      <c r="I122" s="55">
        <v>0.71025957660678818</v>
      </c>
      <c r="J122" s="55">
        <v>0.71026982307830122</v>
      </c>
      <c r="K122" s="55">
        <v>0.71026041783250671</v>
      </c>
      <c r="L122" s="55">
        <v>0.71026041783250671</v>
      </c>
      <c r="M122" s="55">
        <v>0.71023509650489258</v>
      </c>
      <c r="N122" s="55">
        <v>0.71026564287855143</v>
      </c>
      <c r="O122" s="55">
        <v>0.71026116277251261</v>
      </c>
      <c r="P122" s="60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60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</row>
    <row r="123" spans="1:98" x14ac:dyDescent="0.3">
      <c r="A123" s="4">
        <v>96</v>
      </c>
      <c r="E123" s="55"/>
      <c r="F123" s="55"/>
      <c r="G123" s="55"/>
      <c r="H123" s="55">
        <v>0.71026407894083066</v>
      </c>
      <c r="I123" s="55">
        <v>0.71026118014751061</v>
      </c>
      <c r="J123" s="55">
        <v>0.71024631940871041</v>
      </c>
      <c r="K123" s="55">
        <v>0.71025458382486961</v>
      </c>
      <c r="L123" s="55">
        <v>0.71025458382486961</v>
      </c>
      <c r="M123" s="55">
        <v>0.71023401107495399</v>
      </c>
      <c r="N123" s="55">
        <v>0.71025965585640294</v>
      </c>
      <c r="O123" s="55">
        <v>0.7102457102005173</v>
      </c>
      <c r="P123" s="60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60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</row>
    <row r="124" spans="1:98" x14ac:dyDescent="0.3">
      <c r="A124" s="4">
        <v>97</v>
      </c>
      <c r="E124" s="55"/>
      <c r="F124" s="55"/>
      <c r="G124" s="55"/>
      <c r="H124" s="55">
        <v>0.7102493133230684</v>
      </c>
      <c r="I124" s="55">
        <v>0.71025119890177491</v>
      </c>
      <c r="J124" s="55">
        <v>0.71025403522967057</v>
      </c>
      <c r="K124" s="55">
        <v>0.71024280806700657</v>
      </c>
      <c r="L124" s="55">
        <v>0.71024280806700657</v>
      </c>
      <c r="M124" s="55">
        <v>0.7102481740261527</v>
      </c>
      <c r="N124" s="55">
        <v>0.71024952172610512</v>
      </c>
      <c r="O124" s="55">
        <v>0.71024965080472091</v>
      </c>
      <c r="P124" s="60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60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</row>
    <row r="125" spans="1:98" x14ac:dyDescent="0.3">
      <c r="A125" s="4">
        <v>98</v>
      </c>
      <c r="E125" s="55"/>
      <c r="F125" s="55"/>
      <c r="G125" s="55"/>
      <c r="H125" s="55">
        <v>0.71026887798467064</v>
      </c>
      <c r="I125" s="55">
        <v>0.71024758291284174</v>
      </c>
      <c r="J125" s="55">
        <v>0.71025145324349548</v>
      </c>
      <c r="K125" s="55">
        <v>0.71026638550648402</v>
      </c>
      <c r="L125" s="55">
        <v>0.71026638550648402</v>
      </c>
      <c r="M125" s="55">
        <v>0.71023028195351812</v>
      </c>
      <c r="N125" s="55">
        <v>0.7102638926600009</v>
      </c>
      <c r="O125" s="55">
        <v>0.71026020728771566</v>
      </c>
      <c r="P125" s="60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60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</row>
    <row r="126" spans="1:98" x14ac:dyDescent="0.3">
      <c r="A126" s="4">
        <v>99</v>
      </c>
      <c r="E126" s="55"/>
      <c r="F126" s="55"/>
      <c r="G126" s="55"/>
      <c r="H126" s="55">
        <v>0.71025669004955283</v>
      </c>
      <c r="I126" s="55">
        <v>0.71025804903058132</v>
      </c>
      <c r="J126" s="55">
        <v>0.7102551108747357</v>
      </c>
      <c r="K126" s="55">
        <v>0.71025386848253269</v>
      </c>
      <c r="L126" s="55">
        <v>0.71025386848253269</v>
      </c>
      <c r="M126" s="55">
        <v>0.71022070837128137</v>
      </c>
      <c r="N126" s="55">
        <v>0.71026023409466832</v>
      </c>
      <c r="O126" s="55">
        <v>0.71025762236026357</v>
      </c>
      <c r="P126" s="60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60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</row>
    <row r="127" spans="1:98" x14ac:dyDescent="0.3">
      <c r="A127" s="4">
        <v>100</v>
      </c>
      <c r="E127" s="55"/>
      <c r="F127" s="55"/>
      <c r="G127" s="55"/>
      <c r="H127" s="55">
        <v>0.71025583461995956</v>
      </c>
      <c r="I127" s="55">
        <v>0.71025654355989642</v>
      </c>
      <c r="J127" s="55">
        <v>0.71025403726790981</v>
      </c>
      <c r="K127" s="55">
        <v>0.71024750350134258</v>
      </c>
      <c r="L127" s="55">
        <v>0.71024750350134258</v>
      </c>
      <c r="M127" s="55">
        <v>0.7102196666420435</v>
      </c>
      <c r="N127" s="55">
        <v>0.71022841752636812</v>
      </c>
      <c r="O127" s="55">
        <v>0.71026478892421729</v>
      </c>
      <c r="P127" s="60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60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</row>
    <row r="128" spans="1:98" x14ac:dyDescent="0.3">
      <c r="A128" s="4">
        <v>101</v>
      </c>
      <c r="E128" s="55"/>
      <c r="F128" s="55"/>
      <c r="G128" s="55"/>
      <c r="H128" s="55">
        <v>0.71024911000248803</v>
      </c>
      <c r="I128" s="55">
        <v>0.71024629737311473</v>
      </c>
      <c r="J128" s="55">
        <v>0.71025716945556261</v>
      </c>
      <c r="K128" s="55">
        <v>0.71024889250029422</v>
      </c>
      <c r="L128" s="55">
        <v>0.71024889250029422</v>
      </c>
      <c r="M128" s="55">
        <v>0.71023780591058017</v>
      </c>
      <c r="N128" s="55">
        <v>0.71027547078427788</v>
      </c>
      <c r="O128" s="55">
        <v>0.71024771756684979</v>
      </c>
      <c r="P128" s="60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60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</row>
    <row r="129" spans="1:98" x14ac:dyDescent="0.3">
      <c r="A129" s="4">
        <v>102</v>
      </c>
      <c r="E129" s="55"/>
      <c r="F129" s="55"/>
      <c r="G129" s="55"/>
      <c r="H129" s="55">
        <v>0.7102553125792368</v>
      </c>
      <c r="I129" s="55">
        <v>0.71026044201098026</v>
      </c>
      <c r="J129" s="55">
        <v>0.71026276408114175</v>
      </c>
      <c r="K129" s="55">
        <v>0.71025922559757293</v>
      </c>
      <c r="L129" s="55">
        <v>0.71025922559757293</v>
      </c>
      <c r="M129" s="55">
        <v>0.71025507480102845</v>
      </c>
      <c r="N129" s="55">
        <v>0.71024071554215573</v>
      </c>
      <c r="O129" s="55">
        <v>0.71025368396540878</v>
      </c>
      <c r="P129" s="60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60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</row>
    <row r="130" spans="1:98" x14ac:dyDescent="0.3">
      <c r="A130" s="4">
        <v>103</v>
      </c>
      <c r="E130" s="55"/>
      <c r="F130" s="55"/>
      <c r="G130" s="55"/>
      <c r="H130" s="55">
        <v>0.71023979515713276</v>
      </c>
      <c r="I130" s="55">
        <v>0.71025626792109509</v>
      </c>
      <c r="J130" s="55">
        <v>0.71027006511557766</v>
      </c>
      <c r="K130" s="55">
        <v>0.71025090657714851</v>
      </c>
      <c r="L130" s="55">
        <v>0.71025090657714851</v>
      </c>
      <c r="M130" s="55">
        <v>0.71023677156455423</v>
      </c>
      <c r="N130" s="55">
        <v>0.71022102424090461</v>
      </c>
      <c r="O130" s="55">
        <v>0.71025159214298761</v>
      </c>
      <c r="P130" s="60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60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</row>
    <row r="131" spans="1:98" x14ac:dyDescent="0.3">
      <c r="A131" s="4">
        <v>104</v>
      </c>
      <c r="E131" s="55"/>
      <c r="F131" s="55"/>
      <c r="G131" s="55"/>
      <c r="H131" s="55">
        <v>0.71024509995745544</v>
      </c>
      <c r="I131" s="55">
        <v>0.71025707244859015</v>
      </c>
      <c r="J131" s="55">
        <v>0.71026620020022335</v>
      </c>
      <c r="K131" s="55">
        <v>0.71024967774973058</v>
      </c>
      <c r="L131" s="55">
        <v>0.71024967774973058</v>
      </c>
      <c r="M131" s="55">
        <v>0.71024299005937364</v>
      </c>
      <c r="N131" s="55">
        <v>0.71024900976889338</v>
      </c>
      <c r="O131" s="55">
        <v>0.71024688223166632</v>
      </c>
      <c r="P131" s="60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60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</row>
    <row r="132" spans="1:98" x14ac:dyDescent="0.3">
      <c r="A132" s="4">
        <v>105</v>
      </c>
      <c r="E132" s="55"/>
      <c r="F132" s="55"/>
      <c r="G132" s="55"/>
      <c r="H132" s="55">
        <v>0.71025111245044203</v>
      </c>
      <c r="I132" s="55">
        <v>0.71026352538459825</v>
      </c>
      <c r="J132" s="55">
        <v>0.71025061036627934</v>
      </c>
      <c r="K132" s="55">
        <v>0.71024512149813046</v>
      </c>
      <c r="L132" s="55">
        <v>0.71024512149813046</v>
      </c>
      <c r="M132" s="55">
        <v>0.71024634401294795</v>
      </c>
      <c r="N132" s="55">
        <v>0.71025133953790875</v>
      </c>
      <c r="O132" s="55">
        <v>0.71025233181500502</v>
      </c>
      <c r="P132" s="60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60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</row>
    <row r="133" spans="1:98" x14ac:dyDescent="0.3">
      <c r="A133" s="4">
        <v>106</v>
      </c>
      <c r="E133" s="55"/>
      <c r="F133" s="55"/>
      <c r="G133" s="55"/>
      <c r="H133" s="55">
        <v>0.71026709574444424</v>
      </c>
      <c r="I133" s="55">
        <v>0.71025700783066226</v>
      </c>
      <c r="J133" s="55">
        <v>0.71027462109879325</v>
      </c>
      <c r="K133" s="55">
        <v>0.71022777744204635</v>
      </c>
      <c r="L133" s="55">
        <v>0.71022777744204635</v>
      </c>
      <c r="M133" s="55">
        <v>0.71024485882669963</v>
      </c>
      <c r="N133" s="55">
        <v>0.7102618010266446</v>
      </c>
      <c r="O133" s="55">
        <v>0.71024490358633396</v>
      </c>
      <c r="P133" s="60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60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</row>
    <row r="134" spans="1:98" x14ac:dyDescent="0.3">
      <c r="A134" s="4">
        <v>107</v>
      </c>
      <c r="E134" s="55"/>
      <c r="F134" s="55"/>
      <c r="G134" s="55"/>
      <c r="H134" s="55">
        <v>0.71025883207501783</v>
      </c>
      <c r="I134" s="55">
        <v>0.71025725109437909</v>
      </c>
      <c r="J134" s="55">
        <v>0.7102622106480585</v>
      </c>
      <c r="K134" s="55">
        <v>0.71023129387843398</v>
      </c>
      <c r="L134" s="55">
        <v>0.71023129387843398</v>
      </c>
      <c r="M134" s="55">
        <v>0.71022699538552236</v>
      </c>
      <c r="N134" s="55">
        <v>0.71023149018443177</v>
      </c>
      <c r="O134" s="55">
        <v>0.71025446092501687</v>
      </c>
      <c r="P134" s="60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60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</row>
    <row r="135" spans="1:98" x14ac:dyDescent="0.3">
      <c r="A135" s="4">
        <v>108</v>
      </c>
      <c r="E135" s="55"/>
      <c r="F135" s="55"/>
      <c r="G135" s="55"/>
      <c r="H135" s="55">
        <v>0.71024929140412552</v>
      </c>
      <c r="I135" s="55">
        <v>0.71025437219478782</v>
      </c>
      <c r="J135" s="55">
        <v>0.71025332944982822</v>
      </c>
      <c r="K135" s="55">
        <v>0.7102353004991645</v>
      </c>
      <c r="L135" s="55">
        <v>0.7102353004991645</v>
      </c>
      <c r="M135" s="55">
        <v>0.7102484024092357</v>
      </c>
      <c r="N135" s="55">
        <v>0.71025377492089325</v>
      </c>
      <c r="O135" s="55">
        <v>0.71025989914510257</v>
      </c>
      <c r="P135" s="60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60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</row>
    <row r="136" spans="1:98" x14ac:dyDescent="0.3">
      <c r="A136" s="4">
        <v>109</v>
      </c>
      <c r="E136" s="55"/>
      <c r="F136" s="55"/>
      <c r="G136" s="55"/>
      <c r="H136" s="55">
        <v>0.71025407215051239</v>
      </c>
      <c r="I136" s="55">
        <v>0.71025134377538712</v>
      </c>
      <c r="J136" s="55">
        <v>0.7102537445339524</v>
      </c>
      <c r="K136" s="55">
        <v>0.71025552202355646</v>
      </c>
      <c r="L136" s="55">
        <v>0.71025552202355646</v>
      </c>
      <c r="M136" s="55">
        <v>0.71024240090311264</v>
      </c>
      <c r="N136" s="55">
        <v>0.710264752776958</v>
      </c>
      <c r="O136" s="55">
        <v>0.71025701846650124</v>
      </c>
      <c r="P136" s="60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60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</row>
    <row r="137" spans="1:98" x14ac:dyDescent="0.3">
      <c r="A137" s="4">
        <v>110</v>
      </c>
      <c r="E137" s="55"/>
      <c r="F137" s="55"/>
      <c r="G137" s="55"/>
      <c r="H137" s="55">
        <v>0.71025716255856142</v>
      </c>
      <c r="I137" s="55">
        <v>0.71025221205246902</v>
      </c>
      <c r="J137" s="55">
        <v>0.71026150218188533</v>
      </c>
      <c r="K137" s="55">
        <v>0.7102867699747174</v>
      </c>
      <c r="L137" s="55">
        <v>0.7102867699747174</v>
      </c>
      <c r="M137" s="55">
        <v>0.71023353568276038</v>
      </c>
      <c r="N137" s="55">
        <v>0.71024768273704775</v>
      </c>
      <c r="O137" s="55">
        <v>0.71027909844051895</v>
      </c>
      <c r="P137" s="60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60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</row>
    <row r="138" spans="1:98" x14ac:dyDescent="0.3">
      <c r="A138" s="4">
        <v>111</v>
      </c>
      <c r="E138" s="55"/>
      <c r="F138" s="55"/>
      <c r="G138" s="55"/>
      <c r="H138" s="55">
        <v>0.71025317034434066</v>
      </c>
      <c r="I138" s="55">
        <v>0.71025251017487567</v>
      </c>
      <c r="J138" s="55">
        <v>0.71024931199246732</v>
      </c>
      <c r="K138" s="55">
        <v>0.71025178654369425</v>
      </c>
      <c r="L138" s="55">
        <v>0.71025178654369425</v>
      </c>
      <c r="M138" s="55">
        <v>0.71022234483616298</v>
      </c>
      <c r="N138" s="55">
        <v>0.7102851508217316</v>
      </c>
      <c r="O138" s="55">
        <v>0.71026524286254189</v>
      </c>
      <c r="P138" s="60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60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</row>
    <row r="139" spans="1:98" x14ac:dyDescent="0.3">
      <c r="A139" s="4">
        <v>112</v>
      </c>
      <c r="E139" s="55"/>
      <c r="F139" s="55"/>
      <c r="G139" s="55"/>
      <c r="H139" s="55">
        <v>0.71025231568949732</v>
      </c>
      <c r="I139" s="55">
        <v>0.71025434140030774</v>
      </c>
      <c r="J139" s="55">
        <v>0.71024905590801646</v>
      </c>
      <c r="K139" s="55">
        <v>0.71027378327014323</v>
      </c>
      <c r="L139" s="55">
        <v>0.71027378327014323</v>
      </c>
      <c r="M139" s="55">
        <v>0.71024119259340246</v>
      </c>
      <c r="N139" s="55">
        <v>0.71024969383619307</v>
      </c>
      <c r="O139" s="55">
        <v>0.71025533688773179</v>
      </c>
      <c r="P139" s="60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60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</row>
    <row r="140" spans="1:98" x14ac:dyDescent="0.3">
      <c r="A140" s="4">
        <v>113</v>
      </c>
      <c r="E140" s="55"/>
      <c r="F140" s="55"/>
      <c r="G140" s="55"/>
      <c r="H140" s="55">
        <v>0.71024451207909933</v>
      </c>
      <c r="I140" s="55">
        <v>0.71026121981053836</v>
      </c>
      <c r="J140" s="55">
        <v>0.71026390067671241</v>
      </c>
      <c r="K140" s="55">
        <v>0.71024274526146114</v>
      </c>
      <c r="L140" s="55">
        <v>0.71024274526146114</v>
      </c>
      <c r="M140" s="55">
        <v>0.71023982036369615</v>
      </c>
      <c r="N140" s="55">
        <v>0.71025599563791786</v>
      </c>
      <c r="O140" s="55">
        <v>0.71027098969274571</v>
      </c>
      <c r="P140" s="60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60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</row>
    <row r="141" spans="1:98" x14ac:dyDescent="0.3">
      <c r="A141" s="4">
        <v>114</v>
      </c>
      <c r="E141" s="55"/>
      <c r="F141" s="55"/>
      <c r="G141" s="55"/>
      <c r="H141" s="55">
        <v>0.71023355202308458</v>
      </c>
      <c r="I141" s="55">
        <v>0.71025577701493259</v>
      </c>
      <c r="J141" s="55">
        <v>0.71025962966379963</v>
      </c>
      <c r="K141" s="55">
        <v>0.71024616406986418</v>
      </c>
      <c r="L141" s="55">
        <v>0.71024616406986418</v>
      </c>
      <c r="M141" s="55">
        <v>0.71024121467770152</v>
      </c>
      <c r="N141" s="55">
        <v>0.71025463948322065</v>
      </c>
      <c r="O141" s="55">
        <v>0.71026281675329228</v>
      </c>
      <c r="P141" s="60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60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</row>
    <row r="142" spans="1:98" x14ac:dyDescent="0.3">
      <c r="A142" s="4">
        <v>115</v>
      </c>
      <c r="E142" s="55"/>
      <c r="F142" s="55"/>
      <c r="G142" s="55"/>
      <c r="H142" s="55">
        <v>0.71024455355368155</v>
      </c>
      <c r="I142" s="55">
        <v>0.71025932851513474</v>
      </c>
      <c r="J142" s="55">
        <v>0.71027225556797047</v>
      </c>
      <c r="K142" s="55">
        <v>0.71025069866508839</v>
      </c>
      <c r="L142" s="55">
        <v>0.71025069866508839</v>
      </c>
      <c r="M142" s="55">
        <v>0.71024141070362512</v>
      </c>
      <c r="N142" s="55">
        <v>0.71024443291488148</v>
      </c>
      <c r="O142" s="55">
        <v>0.71028066392069311</v>
      </c>
      <c r="P142" s="60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60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</row>
    <row r="143" spans="1:98" x14ac:dyDescent="0.3">
      <c r="A143" s="4">
        <v>116</v>
      </c>
      <c r="E143" s="55"/>
      <c r="F143" s="55"/>
      <c r="G143" s="55"/>
      <c r="H143" s="55">
        <v>0.71025101614063502</v>
      </c>
      <c r="I143" s="55">
        <v>0.71025249921345968</v>
      </c>
      <c r="J143" s="55">
        <v>0.71026004863326897</v>
      </c>
      <c r="K143" s="55">
        <v>0.71025934984562233</v>
      </c>
      <c r="L143" s="55">
        <v>0.71025934984562233</v>
      </c>
      <c r="M143" s="55">
        <v>0.71024895019550494</v>
      </c>
      <c r="N143" s="55">
        <v>0.71024902163959125</v>
      </c>
      <c r="O143" s="55">
        <v>0.71025786044541295</v>
      </c>
      <c r="P143" s="60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60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</row>
    <row r="144" spans="1:98" x14ac:dyDescent="0.3">
      <c r="A144" s="4">
        <v>117</v>
      </c>
      <c r="E144" s="55"/>
      <c r="F144" s="55"/>
      <c r="G144" s="55"/>
      <c r="H144" s="55">
        <v>0.71026614770850549</v>
      </c>
      <c r="I144" s="55">
        <v>0.71024764732827872</v>
      </c>
      <c r="J144" s="55">
        <v>0.71026236198496207</v>
      </c>
      <c r="K144" s="55">
        <v>0.7102736918618362</v>
      </c>
      <c r="L144" s="55">
        <v>0.7102736918618362</v>
      </c>
      <c r="M144" s="55">
        <v>0.71024059020507524</v>
      </c>
      <c r="N144" s="55">
        <v>0.71026584768447576</v>
      </c>
      <c r="O144" s="55">
        <v>0.71026418524419366</v>
      </c>
      <c r="P144" s="60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60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</row>
    <row r="145" spans="1:98" x14ac:dyDescent="0.3">
      <c r="A145" s="4">
        <v>118</v>
      </c>
      <c r="E145" s="55"/>
      <c r="F145" s="55"/>
      <c r="G145" s="55"/>
      <c r="H145" s="55">
        <v>0.71024918877631926</v>
      </c>
      <c r="I145" s="55">
        <v>0.71025972538490867</v>
      </c>
      <c r="J145" s="55">
        <v>0.71027062874687619</v>
      </c>
      <c r="K145" s="55">
        <v>0.71024233296679018</v>
      </c>
      <c r="L145" s="55">
        <v>0.71024233296679018</v>
      </c>
      <c r="M145" s="55">
        <v>0.71023299179062094</v>
      </c>
      <c r="N145" s="55">
        <v>0.71026466736911753</v>
      </c>
      <c r="O145" s="55">
        <v>0.71027475072660851</v>
      </c>
      <c r="P145" s="60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60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</row>
    <row r="146" spans="1:98" x14ac:dyDescent="0.3">
      <c r="A146" s="4">
        <v>119</v>
      </c>
      <c r="E146" s="55"/>
      <c r="F146" s="55"/>
      <c r="G146" s="55"/>
      <c r="H146" s="55">
        <v>0.71026820361088605</v>
      </c>
      <c r="I146" s="55">
        <v>0.71026327025580649</v>
      </c>
      <c r="J146" s="55">
        <v>0.71025833253704784</v>
      </c>
      <c r="K146" s="55">
        <v>0.71026664170263054</v>
      </c>
      <c r="L146" s="55">
        <v>0.71026664170263054</v>
      </c>
      <c r="M146" s="55">
        <v>0.71022479856910059</v>
      </c>
      <c r="N146" s="55">
        <v>0.71024244665683822</v>
      </c>
      <c r="O146" s="55">
        <v>0.71027716403708518</v>
      </c>
      <c r="P146" s="60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60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</row>
    <row r="147" spans="1:98" x14ac:dyDescent="0.3">
      <c r="A147" s="4">
        <v>120</v>
      </c>
      <c r="E147" s="55"/>
      <c r="F147" s="55"/>
      <c r="G147" s="55"/>
      <c r="H147" s="55">
        <v>0.71026274518394095</v>
      </c>
      <c r="I147" s="55">
        <v>0.71024638211867963</v>
      </c>
      <c r="J147" s="55">
        <v>0.71026178038341548</v>
      </c>
      <c r="K147" s="55">
        <v>0.7102540694675421</v>
      </c>
      <c r="L147" s="55">
        <v>0.7102540694675421</v>
      </c>
      <c r="M147" s="55">
        <v>0.71024234997774027</v>
      </c>
      <c r="N147" s="55">
        <v>0.71025957442016419</v>
      </c>
      <c r="O147" s="55">
        <v>0.71024772951900816</v>
      </c>
      <c r="P147" s="60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60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</row>
    <row r="148" spans="1:98" x14ac:dyDescent="0.3">
      <c r="A148" s="4">
        <v>121</v>
      </c>
      <c r="E148" s="55"/>
      <c r="F148" s="55"/>
      <c r="G148" s="55"/>
      <c r="H148" s="55">
        <v>0.7102513427175936</v>
      </c>
      <c r="I148" s="55">
        <v>0.71025197674104856</v>
      </c>
      <c r="J148" s="55">
        <v>0.71026357383264849</v>
      </c>
      <c r="K148" s="55">
        <v>0.71024624553109383</v>
      </c>
      <c r="L148" s="55">
        <v>0.71024624553109383</v>
      </c>
      <c r="M148" s="55"/>
      <c r="N148" s="55">
        <v>0.71026753109693352</v>
      </c>
      <c r="O148" s="55">
        <v>0.7102525491362347</v>
      </c>
      <c r="P148" s="60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60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</row>
    <row r="149" spans="1:98" x14ac:dyDescent="0.3">
      <c r="A149" s="4">
        <v>122</v>
      </c>
      <c r="E149" s="55"/>
      <c r="F149" s="55"/>
      <c r="G149" s="55"/>
      <c r="H149" s="55">
        <v>0.71025100488410664</v>
      </c>
      <c r="I149" s="55">
        <v>0.7102578606125225</v>
      </c>
      <c r="J149" s="55">
        <v>0.71027062932487861</v>
      </c>
      <c r="K149" s="55">
        <v>0.71023889153091035</v>
      </c>
      <c r="L149" s="55">
        <v>0.71023889153091035</v>
      </c>
      <c r="M149" s="55"/>
      <c r="N149" s="55">
        <v>0.71026968214988595</v>
      </c>
      <c r="O149" s="55">
        <v>0.71026611164205045</v>
      </c>
      <c r="P149" s="60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60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</row>
    <row r="150" spans="1:98" x14ac:dyDescent="0.3">
      <c r="A150" s="4">
        <v>123</v>
      </c>
      <c r="E150" s="55"/>
      <c r="F150" s="55"/>
      <c r="G150" s="55"/>
      <c r="H150" s="55">
        <v>0.71026323371941413</v>
      </c>
      <c r="I150" s="55">
        <v>0.71025519912273405</v>
      </c>
      <c r="J150" s="55">
        <v>0.71025870751744113</v>
      </c>
      <c r="K150" s="55">
        <v>0.71023906173643736</v>
      </c>
      <c r="L150" s="55">
        <v>0.71023906173643736</v>
      </c>
      <c r="M150" s="55"/>
      <c r="N150" s="55">
        <v>0.71022792150293379</v>
      </c>
      <c r="O150" s="55">
        <v>0.71025538317684744</v>
      </c>
      <c r="P150" s="60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60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</row>
    <row r="151" spans="1:98" x14ac:dyDescent="0.3">
      <c r="A151" s="4">
        <v>124</v>
      </c>
      <c r="E151" s="55"/>
      <c r="F151" s="55"/>
      <c r="G151" s="55"/>
      <c r="H151" s="55">
        <v>0.71024064188671421</v>
      </c>
      <c r="I151" s="55">
        <v>0.71026244671026562</v>
      </c>
      <c r="J151" s="55">
        <v>0.71026383114789782</v>
      </c>
      <c r="K151" s="55">
        <v>0.71024115410479882</v>
      </c>
      <c r="L151" s="55">
        <v>0.71024115410479882</v>
      </c>
      <c r="M151" s="55"/>
      <c r="N151" s="55">
        <v>0.7102613408298436</v>
      </c>
      <c r="O151" s="55">
        <v>0.71025947196132111</v>
      </c>
      <c r="P151" s="60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60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</row>
    <row r="152" spans="1:98" x14ac:dyDescent="0.3">
      <c r="A152" s="4">
        <v>125</v>
      </c>
      <c r="E152" s="55"/>
      <c r="F152" s="55"/>
      <c r="G152" s="55"/>
      <c r="H152" s="55">
        <v>0.71025625473605358</v>
      </c>
      <c r="I152" s="55">
        <v>0.71025490323302509</v>
      </c>
      <c r="J152" s="55">
        <v>0.71026415828355971</v>
      </c>
      <c r="K152" s="55">
        <v>0.71026755975930678</v>
      </c>
      <c r="L152" s="55">
        <v>0.71026755975930678</v>
      </c>
      <c r="M152" s="55"/>
      <c r="N152" s="55">
        <v>0.71028115675900483</v>
      </c>
      <c r="O152" s="55">
        <v>0.71025572386552294</v>
      </c>
      <c r="P152" s="60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60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</row>
    <row r="153" spans="1:98" x14ac:dyDescent="0.3">
      <c r="A153" s="4">
        <v>126</v>
      </c>
      <c r="E153" s="55"/>
      <c r="F153" s="55"/>
      <c r="G153" s="55"/>
      <c r="H153" s="55">
        <v>0.7102472749427341</v>
      </c>
      <c r="I153" s="55">
        <v>0.71025841248023369</v>
      </c>
      <c r="J153" s="55">
        <v>0.71027893002068154</v>
      </c>
      <c r="K153" s="55">
        <v>0.71026582010671524</v>
      </c>
      <c r="L153" s="55">
        <v>0.71026582010671524</v>
      </c>
      <c r="M153" s="55"/>
      <c r="N153" s="55">
        <v>0.71023118454692058</v>
      </c>
      <c r="O153" s="55">
        <v>0.71025422054013976</v>
      </c>
      <c r="P153" s="60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60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</row>
    <row r="154" spans="1:98" x14ac:dyDescent="0.3">
      <c r="A154" s="4">
        <v>127</v>
      </c>
      <c r="E154" s="55"/>
      <c r="F154" s="55"/>
      <c r="G154" s="55"/>
      <c r="H154" s="55">
        <v>0.7102385289411528</v>
      </c>
      <c r="I154" s="55">
        <v>0.71026740866842308</v>
      </c>
      <c r="J154" s="55">
        <v>0.71027207316738283</v>
      </c>
      <c r="K154" s="55">
        <v>0.71022614061122491</v>
      </c>
      <c r="L154" s="55">
        <v>0.71022614061122491</v>
      </c>
      <c r="M154" s="55"/>
      <c r="N154" s="55">
        <v>0.71024194824092712</v>
      </c>
      <c r="O154" s="55">
        <v>0.7102838462949993</v>
      </c>
      <c r="P154" s="60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60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</row>
    <row r="155" spans="1:98" x14ac:dyDescent="0.3">
      <c r="A155" s="4">
        <v>128</v>
      </c>
      <c r="E155" s="55"/>
      <c r="F155" s="55"/>
      <c r="G155" s="55"/>
      <c r="H155" s="55">
        <v>0.71025502088013792</v>
      </c>
      <c r="I155" s="55">
        <v>0.71026103191142331</v>
      </c>
      <c r="J155" s="55">
        <v>0.71026420063409568</v>
      </c>
      <c r="K155" s="55">
        <v>0.71026082927802092</v>
      </c>
      <c r="L155" s="55">
        <v>0.71026082927802092</v>
      </c>
      <c r="M155" s="55"/>
      <c r="N155" s="55">
        <v>0.71024633967249484</v>
      </c>
      <c r="O155" s="55">
        <v>0.7102661193336901</v>
      </c>
      <c r="P155" s="60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60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</row>
    <row r="156" spans="1:98" x14ac:dyDescent="0.3">
      <c r="A156" s="4">
        <v>129</v>
      </c>
      <c r="E156" s="55"/>
      <c r="F156" s="55"/>
      <c r="G156" s="55"/>
      <c r="H156" s="55">
        <v>0.71025743365038485</v>
      </c>
      <c r="I156" s="55">
        <v>0.710252639496746</v>
      </c>
      <c r="J156" s="55">
        <v>0.71027048416670524</v>
      </c>
      <c r="K156" s="55">
        <v>0.71024245031454181</v>
      </c>
      <c r="L156" s="55">
        <v>0.71024245031454181</v>
      </c>
      <c r="M156" s="55"/>
      <c r="N156" s="55">
        <v>0.71025665579231168</v>
      </c>
      <c r="O156" s="55">
        <v>0.71026412662203886</v>
      </c>
      <c r="P156" s="60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60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</row>
    <row r="157" spans="1:98" x14ac:dyDescent="0.3">
      <c r="A157" s="4">
        <v>130</v>
      </c>
      <c r="E157" s="55"/>
      <c r="F157" s="55"/>
      <c r="G157" s="55"/>
      <c r="H157" s="55">
        <v>0.71026603766697349</v>
      </c>
      <c r="I157" s="55">
        <v>0.71025217334595947</v>
      </c>
      <c r="J157" s="55">
        <v>0.7102721726879474</v>
      </c>
      <c r="K157" s="55">
        <v>0.7102427402321142</v>
      </c>
      <c r="L157" s="55">
        <v>0.7102427402321142</v>
      </c>
      <c r="M157" s="55"/>
      <c r="N157" s="55">
        <v>0.71024400615946515</v>
      </c>
      <c r="O157" s="55">
        <v>0.71026251942969354</v>
      </c>
      <c r="P157" s="60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60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</row>
    <row r="158" spans="1:98" x14ac:dyDescent="0.3">
      <c r="A158" s="4">
        <v>131</v>
      </c>
      <c r="E158" s="55"/>
      <c r="F158" s="55"/>
      <c r="G158" s="55"/>
      <c r="H158" s="55">
        <v>0.71024739902723666</v>
      </c>
      <c r="I158" s="55">
        <v>0.71026169040735443</v>
      </c>
      <c r="J158" s="55">
        <v>0.71026614688503742</v>
      </c>
      <c r="K158" s="55">
        <v>0.71026143688477406</v>
      </c>
      <c r="L158" s="55">
        <v>0.71026143688477406</v>
      </c>
      <c r="M158" s="55"/>
      <c r="N158" s="55">
        <v>0.7102614069196399</v>
      </c>
      <c r="O158" s="55">
        <v>0.71024668688304282</v>
      </c>
      <c r="P158" s="60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60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</row>
    <row r="159" spans="1:98" x14ac:dyDescent="0.3">
      <c r="A159" s="4">
        <v>132</v>
      </c>
      <c r="E159" s="55"/>
      <c r="F159" s="55"/>
      <c r="G159" s="55"/>
      <c r="H159" s="55">
        <v>0.71025409500343273</v>
      </c>
      <c r="I159" s="55">
        <v>0.71026465121805549</v>
      </c>
      <c r="J159" s="55">
        <v>0.71028008132929676</v>
      </c>
      <c r="K159" s="55">
        <v>0.71026085554369367</v>
      </c>
      <c r="L159" s="55">
        <v>0.71026085554369367</v>
      </c>
      <c r="M159" s="55"/>
      <c r="N159" s="55">
        <v>0.71024807362143361</v>
      </c>
      <c r="O159" s="55">
        <v>0.71027404432687147</v>
      </c>
      <c r="P159" s="60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60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</row>
    <row r="160" spans="1:98" x14ac:dyDescent="0.3">
      <c r="A160" s="4">
        <v>133</v>
      </c>
      <c r="E160" s="55"/>
      <c r="F160" s="55"/>
      <c r="G160" s="55"/>
      <c r="H160" s="55">
        <v>0.71026089243964263</v>
      </c>
      <c r="I160" s="55">
        <v>0.71025680685977022</v>
      </c>
      <c r="J160" s="55">
        <v>0.71026278634344009</v>
      </c>
      <c r="K160" s="55">
        <v>0.71025879240678869</v>
      </c>
      <c r="L160" s="55">
        <v>0.71025879240678869</v>
      </c>
      <c r="M160" s="55"/>
      <c r="N160" s="55">
        <v>0.71026902451430951</v>
      </c>
      <c r="O160" s="55">
        <v>0.71026987854703216</v>
      </c>
      <c r="P160" s="60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60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</row>
    <row r="161" spans="1:98" x14ac:dyDescent="0.3">
      <c r="A161" s="4">
        <v>134</v>
      </c>
      <c r="E161" s="55"/>
      <c r="F161" s="55"/>
      <c r="G161" s="55"/>
      <c r="H161" s="55">
        <v>0.71024996758748626</v>
      </c>
      <c r="I161" s="55">
        <v>0.71025979077089041</v>
      </c>
      <c r="J161" s="55">
        <v>0.71027208361333449</v>
      </c>
      <c r="K161" s="55">
        <v>0.71025221514855785</v>
      </c>
      <c r="L161" s="55">
        <v>0.71025221514855785</v>
      </c>
      <c r="M161" s="55"/>
      <c r="N161" s="55">
        <v>0.71024467189072038</v>
      </c>
      <c r="O161" s="55">
        <v>0.71025455081369593</v>
      </c>
      <c r="P161" s="60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60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</row>
    <row r="162" spans="1:98" x14ac:dyDescent="0.3">
      <c r="A162" s="4">
        <v>135</v>
      </c>
      <c r="E162" s="55"/>
      <c r="F162" s="55"/>
      <c r="G162" s="55"/>
      <c r="H162" s="55">
        <v>0.71025267909918033</v>
      </c>
      <c r="I162" s="55">
        <v>0.71026996547713983</v>
      </c>
      <c r="J162" s="55">
        <v>0.71026261320318584</v>
      </c>
      <c r="K162" s="55">
        <v>0.71025829645961047</v>
      </c>
      <c r="L162" s="55">
        <v>0.71025829645961047</v>
      </c>
      <c r="M162" s="55"/>
      <c r="N162" s="55">
        <v>0.71026170660388088</v>
      </c>
      <c r="O162" s="55">
        <v>0.71025550438974661</v>
      </c>
      <c r="P162" s="60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60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</row>
    <row r="163" spans="1:98" x14ac:dyDescent="0.3">
      <c r="A163" s="4">
        <v>136</v>
      </c>
      <c r="E163" s="55"/>
      <c r="F163" s="55"/>
      <c r="G163" s="55"/>
      <c r="H163" s="55">
        <v>0.7102743192802986</v>
      </c>
      <c r="I163" s="55">
        <v>0.71026193080019795</v>
      </c>
      <c r="J163" s="55">
        <v>0.71027244121464983</v>
      </c>
      <c r="K163" s="55">
        <v>0.71025006811854596</v>
      </c>
      <c r="L163" s="55">
        <v>0.71025006811854596</v>
      </c>
      <c r="M163" s="55"/>
      <c r="N163" s="55">
        <v>0.71025013852961205</v>
      </c>
      <c r="O163" s="55">
        <v>0.71025565755979825</v>
      </c>
      <c r="P163" s="60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60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</row>
    <row r="164" spans="1:98" x14ac:dyDescent="0.3">
      <c r="A164" s="4">
        <v>137</v>
      </c>
      <c r="E164" s="55"/>
      <c r="F164" s="55"/>
      <c r="G164" s="55"/>
      <c r="H164" s="55">
        <v>0.71025455270057336</v>
      </c>
      <c r="I164" s="55">
        <v>0.71026828808096898</v>
      </c>
      <c r="J164" s="55">
        <v>0.71027063200539997</v>
      </c>
      <c r="K164" s="55">
        <v>0.71024642520298442</v>
      </c>
      <c r="L164" s="55">
        <v>0.71024642520298442</v>
      </c>
      <c r="M164" s="55"/>
      <c r="N164" s="55">
        <v>0.71024077563723886</v>
      </c>
      <c r="O164" s="55">
        <v>0.71025933029222021</v>
      </c>
      <c r="P164" s="60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60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</row>
    <row r="165" spans="1:98" x14ac:dyDescent="0.3">
      <c r="A165" s="4">
        <v>138</v>
      </c>
      <c r="E165" s="55"/>
      <c r="F165" s="55"/>
      <c r="G165" s="55"/>
      <c r="H165" s="55">
        <v>0.71024644459616126</v>
      </c>
      <c r="I165" s="55">
        <v>0.71025394884112147</v>
      </c>
      <c r="J165" s="55">
        <v>0.71027348833314963</v>
      </c>
      <c r="K165" s="55">
        <v>0.71023183761386499</v>
      </c>
      <c r="L165" s="55">
        <v>0.71023183761386499</v>
      </c>
      <c r="M165" s="55"/>
      <c r="N165" s="55">
        <v>0.71025747340332546</v>
      </c>
      <c r="O165" s="55">
        <v>0.71025199692429686</v>
      </c>
      <c r="P165" s="60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60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</row>
    <row r="166" spans="1:98" x14ac:dyDescent="0.3">
      <c r="A166" s="4">
        <v>139</v>
      </c>
      <c r="E166" s="55"/>
      <c r="F166" s="55"/>
      <c r="G166" s="55"/>
      <c r="H166" s="55">
        <v>0.71025023188437497</v>
      </c>
      <c r="I166" s="55">
        <v>0.71025758706779263</v>
      </c>
      <c r="J166" s="55">
        <v>0.71025845812588717</v>
      </c>
      <c r="K166" s="55">
        <v>0.71025058423376719</v>
      </c>
      <c r="L166" s="55">
        <v>0.71025058423376719</v>
      </c>
      <c r="M166" s="55"/>
      <c r="N166" s="55">
        <v>0.71025512236046628</v>
      </c>
      <c r="O166" s="55">
        <v>0.71027016005531252</v>
      </c>
      <c r="P166" s="60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60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</row>
    <row r="167" spans="1:98" x14ac:dyDescent="0.3">
      <c r="A167" s="4">
        <v>140</v>
      </c>
      <c r="E167" s="55"/>
      <c r="F167" s="55"/>
      <c r="G167" s="55"/>
      <c r="H167" s="55">
        <v>0.71026259638547529</v>
      </c>
      <c r="I167" s="55">
        <v>0.71026720382717379</v>
      </c>
      <c r="J167" s="55">
        <v>0.71027115190960866</v>
      </c>
      <c r="K167" s="55">
        <v>0.71025474840693503</v>
      </c>
      <c r="L167" s="55">
        <v>0.71025474840693503</v>
      </c>
      <c r="M167" s="55"/>
      <c r="N167" s="55">
        <v>0.71024511450914407</v>
      </c>
      <c r="O167" s="55">
        <v>0.7102437979671824</v>
      </c>
      <c r="P167" s="60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60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</row>
    <row r="168" spans="1:98" x14ac:dyDescent="0.3">
      <c r="A168" s="4">
        <v>141</v>
      </c>
      <c r="E168" s="55"/>
      <c r="F168" s="55"/>
      <c r="G168" s="55"/>
      <c r="H168" s="55">
        <v>0.71025163136769653</v>
      </c>
      <c r="I168" s="55">
        <v>0.71026902181424756</v>
      </c>
      <c r="J168" s="55">
        <v>0.71026845545713602</v>
      </c>
      <c r="K168" s="55">
        <v>0.71025843577021697</v>
      </c>
      <c r="L168" s="55">
        <v>0.71025843577021697</v>
      </c>
      <c r="M168" s="55"/>
      <c r="N168" s="55">
        <v>0.71024866033145151</v>
      </c>
      <c r="O168" s="55">
        <v>0.71024904078154649</v>
      </c>
      <c r="P168" s="60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60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</row>
    <row r="169" spans="1:98" x14ac:dyDescent="0.3">
      <c r="A169" s="4">
        <v>142</v>
      </c>
      <c r="E169" s="55"/>
      <c r="F169" s="55"/>
      <c r="G169" s="55"/>
      <c r="H169" s="55">
        <v>0.7102458238949354</v>
      </c>
      <c r="I169" s="55">
        <v>0.7102504545945868</v>
      </c>
      <c r="J169" s="55">
        <v>0.71026548934266365</v>
      </c>
      <c r="K169" s="55">
        <v>0.71023849927907623</v>
      </c>
      <c r="L169" s="55">
        <v>0.71023849927907623</v>
      </c>
      <c r="M169" s="55"/>
      <c r="N169" s="55">
        <v>0.7102453207732069</v>
      </c>
      <c r="O169" s="55">
        <v>0.71026339736389021</v>
      </c>
      <c r="P169" s="60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60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</row>
    <row r="170" spans="1:98" x14ac:dyDescent="0.3">
      <c r="A170" s="4">
        <v>143</v>
      </c>
      <c r="E170" s="55"/>
      <c r="F170" s="55"/>
      <c r="G170" s="55"/>
      <c r="H170" s="55">
        <v>0.71024957610454698</v>
      </c>
      <c r="I170" s="55">
        <v>0.71026031054710503</v>
      </c>
      <c r="J170" s="55">
        <v>0.71026314337289476</v>
      </c>
      <c r="K170" s="55">
        <v>0.71025405217153592</v>
      </c>
      <c r="L170" s="55">
        <v>0.71025405217153592</v>
      </c>
      <c r="M170" s="55"/>
      <c r="N170" s="55">
        <v>0.7102497554237468</v>
      </c>
      <c r="O170" s="55">
        <v>0.71025776995393797</v>
      </c>
      <c r="P170" s="60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60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</row>
    <row r="171" spans="1:98" x14ac:dyDescent="0.3">
      <c r="A171" s="4">
        <v>144</v>
      </c>
      <c r="E171" s="55"/>
      <c r="F171" s="55"/>
      <c r="G171" s="55"/>
      <c r="H171" s="55">
        <v>0.71024389476184868</v>
      </c>
      <c r="I171" s="55">
        <v>0.71026525514576144</v>
      </c>
      <c r="J171" s="55">
        <v>0.71026328196332777</v>
      </c>
      <c r="K171" s="55">
        <v>0.71026607408096953</v>
      </c>
      <c r="L171" s="55">
        <v>0.71026607408096953</v>
      </c>
      <c r="M171" s="55"/>
      <c r="N171" s="55">
        <v>0.71022843094074994</v>
      </c>
      <c r="O171" s="55">
        <v>0.71028260277817568</v>
      </c>
      <c r="P171" s="60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60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</row>
    <row r="172" spans="1:98" x14ac:dyDescent="0.3">
      <c r="A172" s="4">
        <v>145</v>
      </c>
      <c r="E172" s="55"/>
      <c r="F172" s="55"/>
      <c r="G172" s="55"/>
      <c r="H172" s="55">
        <v>0.71024925945530692</v>
      </c>
      <c r="I172" s="55">
        <v>0.71026059305249623</v>
      </c>
      <c r="J172" s="55">
        <v>0.71027856592591487</v>
      </c>
      <c r="K172" s="55">
        <v>0.71024619439583403</v>
      </c>
      <c r="L172" s="55">
        <v>0.71024619439583403</v>
      </c>
      <c r="M172" s="55"/>
      <c r="N172" s="55">
        <v>0.71024696406992538</v>
      </c>
      <c r="O172" s="55">
        <v>0.71026987048243828</v>
      </c>
      <c r="P172" s="60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60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</row>
    <row r="173" spans="1:98" x14ac:dyDescent="0.3">
      <c r="A173" s="4">
        <v>146</v>
      </c>
      <c r="E173" s="55"/>
      <c r="F173" s="55"/>
      <c r="G173" s="55"/>
      <c r="H173" s="55">
        <v>0.7102588672636031</v>
      </c>
      <c r="I173" s="55">
        <v>0.71026666057945809</v>
      </c>
      <c r="J173" s="55">
        <v>0.71026841797479934</v>
      </c>
      <c r="K173" s="55">
        <v>0.71026246386024827</v>
      </c>
      <c r="L173" s="55">
        <v>0.71026246386024827</v>
      </c>
      <c r="M173" s="55"/>
      <c r="N173" s="55">
        <v>0.71025545673606416</v>
      </c>
      <c r="O173" s="55">
        <v>0.71026795893209804</v>
      </c>
      <c r="P173" s="60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60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</row>
    <row r="174" spans="1:98" x14ac:dyDescent="0.3">
      <c r="A174" s="4">
        <v>147</v>
      </c>
      <c r="E174" s="55"/>
      <c r="F174" s="55"/>
      <c r="G174" s="55"/>
      <c r="H174" s="55">
        <v>0.71024697261754166</v>
      </c>
      <c r="I174" s="55">
        <v>0.71026502097727173</v>
      </c>
      <c r="J174" s="55">
        <v>0.7102581614971486</v>
      </c>
      <c r="K174" s="55">
        <v>0.71022951444598892</v>
      </c>
      <c r="L174" s="55">
        <v>0.71022951444598892</v>
      </c>
      <c r="M174" s="55"/>
      <c r="N174" s="55">
        <v>0.71024305488046791</v>
      </c>
      <c r="O174" s="55">
        <v>0.71026114492844161</v>
      </c>
      <c r="P174" s="60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60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</row>
    <row r="175" spans="1:98" x14ac:dyDescent="0.3">
      <c r="A175" s="4">
        <v>148</v>
      </c>
      <c r="E175" s="55"/>
      <c r="F175" s="55"/>
      <c r="G175" s="55"/>
      <c r="H175" s="55">
        <v>0.71025651665592715</v>
      </c>
      <c r="I175" s="55">
        <v>0.71027456640884867</v>
      </c>
      <c r="J175" s="55">
        <v>0.71027472259709068</v>
      </c>
      <c r="K175" s="55">
        <v>0.71025302646297561</v>
      </c>
      <c r="L175" s="55">
        <v>0.71025302646297561</v>
      </c>
      <c r="M175" s="55"/>
      <c r="N175" s="55">
        <v>0.71025087577670887</v>
      </c>
      <c r="O175" s="55">
        <v>0.7102780411895756</v>
      </c>
      <c r="P175" s="60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60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</row>
    <row r="176" spans="1:98" x14ac:dyDescent="0.3">
      <c r="A176" s="4">
        <v>149</v>
      </c>
      <c r="E176" s="55"/>
      <c r="F176" s="55"/>
      <c r="G176" s="55"/>
      <c r="H176" s="55">
        <v>0.71026409346502761</v>
      </c>
      <c r="I176" s="55">
        <v>0.71025523113772826</v>
      </c>
      <c r="J176" s="55">
        <v>0.71026854324806266</v>
      </c>
      <c r="K176" s="55">
        <v>0.71025658234204714</v>
      </c>
      <c r="L176" s="55">
        <v>0.71025658234204714</v>
      </c>
      <c r="M176" s="55"/>
      <c r="N176" s="55">
        <v>0.71025349087702716</v>
      </c>
      <c r="O176" s="55">
        <v>0.71026176477984759</v>
      </c>
      <c r="P176" s="60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60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</row>
    <row r="177" spans="1:98" x14ac:dyDescent="0.3">
      <c r="A177" s="4">
        <v>150</v>
      </c>
      <c r="E177" s="55"/>
      <c r="F177" s="55"/>
      <c r="G177" s="55"/>
      <c r="H177" s="55">
        <v>0.71025229905586829</v>
      </c>
      <c r="I177" s="55">
        <v>0.71026080431987582</v>
      </c>
      <c r="J177" s="55">
        <v>0.71027205111910408</v>
      </c>
      <c r="K177" s="55">
        <v>0.71026142122832381</v>
      </c>
      <c r="L177" s="55">
        <v>0.71026142122832381</v>
      </c>
      <c r="M177" s="55"/>
      <c r="N177" s="55">
        <v>0.71025072806367739</v>
      </c>
      <c r="O177" s="55">
        <v>0.71026303736412844</v>
      </c>
      <c r="P177" s="60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60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</row>
    <row r="178" spans="1:98" x14ac:dyDescent="0.3">
      <c r="A178" s="4">
        <v>151</v>
      </c>
      <c r="E178" s="55"/>
      <c r="F178" s="55"/>
      <c r="G178" s="55"/>
      <c r="H178" s="55">
        <v>0.71024102120968835</v>
      </c>
      <c r="I178" s="55">
        <v>0.71026814862350418</v>
      </c>
      <c r="J178" s="55">
        <v>0.71027182397753619</v>
      </c>
      <c r="K178" s="55">
        <v>0.71023753190394112</v>
      </c>
      <c r="L178" s="55">
        <v>0.71023753190394112</v>
      </c>
      <c r="M178" s="55"/>
      <c r="N178" s="55">
        <v>0.71025914568009285</v>
      </c>
      <c r="O178" s="55">
        <v>0.71024636468302327</v>
      </c>
      <c r="P178" s="60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60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</row>
    <row r="179" spans="1:98" x14ac:dyDescent="0.3">
      <c r="A179" s="4">
        <v>152</v>
      </c>
      <c r="E179" s="55"/>
      <c r="F179" s="55"/>
      <c r="G179" s="55"/>
      <c r="H179" s="55">
        <v>0.71025478295842159</v>
      </c>
      <c r="I179" s="55">
        <v>0.71025867376298446</v>
      </c>
      <c r="J179" s="55">
        <v>0.71027360782967952</v>
      </c>
      <c r="K179" s="55">
        <v>0.71025269293431004</v>
      </c>
      <c r="L179" s="55">
        <v>0.71025269293431004</v>
      </c>
      <c r="M179" s="55"/>
      <c r="N179" s="55">
        <v>0.71025305860891164</v>
      </c>
      <c r="O179" s="55">
        <v>0.7102672304532498</v>
      </c>
      <c r="P179" s="60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60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</row>
    <row r="180" spans="1:98" x14ac:dyDescent="0.3">
      <c r="A180" s="4">
        <v>153</v>
      </c>
      <c r="E180" s="55"/>
      <c r="F180" s="55"/>
      <c r="G180" s="55"/>
      <c r="H180" s="55">
        <v>0.71025676062686272</v>
      </c>
      <c r="I180" s="55">
        <v>0.71026799535191398</v>
      </c>
      <c r="J180" s="55">
        <v>0.71026870911142093</v>
      </c>
      <c r="K180" s="55">
        <v>0.71027468358686796</v>
      </c>
      <c r="L180" s="55">
        <v>0.71027468358686796</v>
      </c>
      <c r="M180" s="55"/>
      <c r="N180" s="55">
        <v>0.71025498920936447</v>
      </c>
      <c r="O180" s="55">
        <v>0.71026900897363343</v>
      </c>
      <c r="P180" s="60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60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</row>
    <row r="181" spans="1:98" x14ac:dyDescent="0.3">
      <c r="A181" s="4">
        <v>154</v>
      </c>
      <c r="E181" s="55"/>
      <c r="F181" s="55"/>
      <c r="G181" s="55"/>
      <c r="H181" s="55"/>
      <c r="I181" s="55">
        <v>0.71026790122829708</v>
      </c>
      <c r="J181" s="55">
        <v>0.7102761611805094</v>
      </c>
      <c r="K181" s="55">
        <v>0.71025896150070289</v>
      </c>
      <c r="L181" s="55">
        <v>0.71025896150070289</v>
      </c>
      <c r="M181" s="55"/>
      <c r="N181" s="55">
        <v>0.71025864705794262</v>
      </c>
      <c r="O181" s="55">
        <v>0.71025728701102031</v>
      </c>
      <c r="P181" s="60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60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</row>
    <row r="182" spans="1:98" x14ac:dyDescent="0.3">
      <c r="A182" s="4">
        <v>155</v>
      </c>
      <c r="E182" s="55"/>
      <c r="F182" s="55"/>
      <c r="G182" s="55"/>
      <c r="H182" s="55"/>
      <c r="I182" s="55">
        <v>0.71026929462025667</v>
      </c>
      <c r="J182" s="55">
        <v>0.71026214426859591</v>
      </c>
      <c r="K182" s="55">
        <v>0.71024136686016981</v>
      </c>
      <c r="L182" s="55">
        <v>0.71024136686016981</v>
      </c>
      <c r="M182" s="55"/>
      <c r="N182" s="55">
        <v>0.71024413646602746</v>
      </c>
      <c r="O182" s="55">
        <v>0.71027186278976095</v>
      </c>
      <c r="P182" s="60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60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</row>
    <row r="183" spans="1:98" x14ac:dyDescent="0.3">
      <c r="A183" s="4">
        <v>156</v>
      </c>
      <c r="E183" s="55"/>
      <c r="F183" s="55"/>
      <c r="G183" s="55"/>
      <c r="H183" s="55"/>
      <c r="I183" s="55">
        <v>0.7102616417142078</v>
      </c>
      <c r="J183" s="55">
        <v>0.71026324872664526</v>
      </c>
      <c r="K183" s="55">
        <v>0.71023207658017606</v>
      </c>
      <c r="L183" s="55">
        <v>0.71023207658017606</v>
      </c>
      <c r="M183" s="55"/>
      <c r="N183" s="55">
        <v>0.71026120191699926</v>
      </c>
      <c r="O183" s="55">
        <v>0.71026165385209894</v>
      </c>
      <c r="P183" s="60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60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</row>
    <row r="184" spans="1:98" x14ac:dyDescent="0.3">
      <c r="A184" s="4">
        <v>157</v>
      </c>
      <c r="E184" s="55"/>
      <c r="F184" s="55"/>
      <c r="G184" s="55"/>
      <c r="H184" s="55"/>
      <c r="I184" s="55">
        <v>0.71026779119899686</v>
      </c>
      <c r="J184" s="55">
        <v>0.71026612440687187</v>
      </c>
      <c r="K184" s="55">
        <v>0.71024390228037759</v>
      </c>
      <c r="L184" s="55">
        <v>0.71024390228037759</v>
      </c>
      <c r="M184" s="55"/>
      <c r="N184" s="55">
        <v>0.71024969960271245</v>
      </c>
      <c r="O184" s="55">
        <v>0.71028312178811348</v>
      </c>
      <c r="P184" s="60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60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</row>
    <row r="185" spans="1:98" x14ac:dyDescent="0.3">
      <c r="A185" s="4">
        <v>158</v>
      </c>
      <c r="E185" s="55"/>
      <c r="F185" s="55"/>
      <c r="G185" s="55"/>
      <c r="H185" s="55"/>
      <c r="I185" s="55">
        <v>0.71025716233943104</v>
      </c>
      <c r="J185" s="55">
        <v>0.71027245583914234</v>
      </c>
      <c r="K185" s="55">
        <v>0.7102659487806422</v>
      </c>
      <c r="L185" s="55">
        <v>0.7102659487806422</v>
      </c>
      <c r="M185" s="55"/>
      <c r="N185" s="55">
        <v>0.71024791372481388</v>
      </c>
      <c r="O185" s="55">
        <v>0.71025840165719922</v>
      </c>
      <c r="P185" s="60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60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</row>
    <row r="186" spans="1:98" x14ac:dyDescent="0.3">
      <c r="A186" s="4">
        <v>159</v>
      </c>
      <c r="E186" s="55"/>
      <c r="F186" s="55"/>
      <c r="G186" s="55"/>
      <c r="H186" s="55"/>
      <c r="I186" s="55">
        <v>0.71026881534235442</v>
      </c>
      <c r="J186" s="55">
        <v>0.71026248327843933</v>
      </c>
      <c r="K186" s="55">
        <v>0.71024587939433881</v>
      </c>
      <c r="L186" s="55">
        <v>0.71024587939433881</v>
      </c>
      <c r="M186" s="55"/>
      <c r="N186" s="55">
        <v>0.71025672160837272</v>
      </c>
      <c r="O186" s="55">
        <v>0.710273618614775</v>
      </c>
      <c r="P186" s="60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60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</row>
    <row r="187" spans="1:98" x14ac:dyDescent="0.3">
      <c r="A187" s="4">
        <v>160</v>
      </c>
      <c r="E187" s="55"/>
      <c r="F187" s="55"/>
      <c r="G187" s="55"/>
      <c r="H187" s="55"/>
      <c r="I187" s="55">
        <v>0.71027578034902339</v>
      </c>
      <c r="J187" s="55">
        <v>0.71025163014849468</v>
      </c>
      <c r="K187" s="55">
        <v>0.71022388016045146</v>
      </c>
      <c r="L187" s="55">
        <v>0.71022388016045146</v>
      </c>
      <c r="M187" s="55"/>
      <c r="N187" s="55">
        <v>0.71024469918474442</v>
      </c>
      <c r="O187" s="55">
        <v>0.71026539658881072</v>
      </c>
      <c r="P187" s="60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60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</row>
    <row r="188" spans="1:98" x14ac:dyDescent="0.3">
      <c r="A188" s="4">
        <v>161</v>
      </c>
      <c r="E188" s="55"/>
      <c r="F188" s="55"/>
      <c r="G188" s="55"/>
      <c r="H188" s="55"/>
      <c r="I188" s="55">
        <v>0.71027095308509514</v>
      </c>
      <c r="J188" s="55">
        <v>0.710260743948261</v>
      </c>
      <c r="K188" s="55">
        <v>0.71025209333111916</v>
      </c>
      <c r="L188" s="55">
        <v>0.71025209333111916</v>
      </c>
      <c r="M188" s="55"/>
      <c r="N188" s="55">
        <v>0.71024956112069038</v>
      </c>
      <c r="O188" s="55">
        <v>0.71027657712779446</v>
      </c>
      <c r="P188" s="60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60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</row>
    <row r="189" spans="1:98" x14ac:dyDescent="0.3">
      <c r="A189" s="4">
        <v>162</v>
      </c>
      <c r="E189" s="55"/>
      <c r="F189" s="55"/>
      <c r="G189" s="55"/>
      <c r="H189" s="55"/>
      <c r="I189" s="55">
        <v>0.71027494196248064</v>
      </c>
      <c r="J189" s="55">
        <v>0.71025829579169342</v>
      </c>
      <c r="K189" s="55">
        <v>0.71025253200990957</v>
      </c>
      <c r="L189" s="55">
        <v>0.71025253200990957</v>
      </c>
      <c r="M189" s="55"/>
      <c r="N189" s="55">
        <v>0.71025936435667614</v>
      </c>
      <c r="O189" s="55">
        <v>0.71026076734020238</v>
      </c>
      <c r="P189" s="60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60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</row>
    <row r="190" spans="1:98" x14ac:dyDescent="0.3">
      <c r="A190" s="4">
        <v>163</v>
      </c>
      <c r="E190" s="55"/>
      <c r="F190" s="55"/>
      <c r="G190" s="55"/>
      <c r="H190" s="55"/>
      <c r="I190" s="55">
        <v>0.71025799910652765</v>
      </c>
      <c r="J190" s="55">
        <v>0.71027243301716447</v>
      </c>
      <c r="K190" s="55">
        <v>0.71028069892449919</v>
      </c>
      <c r="L190" s="55">
        <v>0.71028069892449919</v>
      </c>
      <c r="M190" s="55"/>
      <c r="N190" s="55">
        <v>0.71026998784638995</v>
      </c>
      <c r="O190" s="55">
        <v>0.71026468706530232</v>
      </c>
      <c r="P190" s="60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60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</row>
    <row r="191" spans="1:98" x14ac:dyDescent="0.3">
      <c r="A191" s="4">
        <v>164</v>
      </c>
      <c r="E191" s="55"/>
      <c r="F191" s="55"/>
      <c r="G191" s="55"/>
      <c r="H191" s="55"/>
      <c r="I191" s="55">
        <v>0.71026931600368004</v>
      </c>
      <c r="J191" s="55">
        <v>0.71026182658476877</v>
      </c>
      <c r="K191" s="55">
        <v>0.71024953004610414</v>
      </c>
      <c r="L191" s="55">
        <v>0.71024953004610414</v>
      </c>
      <c r="M191" s="55"/>
      <c r="N191" s="55">
        <v>0.71024508837529365</v>
      </c>
      <c r="O191" s="55">
        <v>0.71026957506538391</v>
      </c>
      <c r="P191" s="60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60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</row>
    <row r="192" spans="1:98" x14ac:dyDescent="0.3">
      <c r="A192" s="4">
        <v>165</v>
      </c>
      <c r="E192" s="55"/>
      <c r="F192" s="55"/>
      <c r="G192" s="55"/>
      <c r="H192" s="55"/>
      <c r="I192" s="55">
        <v>0.71027374737627269</v>
      </c>
      <c r="J192" s="55">
        <v>0.71026393525707865</v>
      </c>
      <c r="K192" s="55">
        <v>0.71025115083615908</v>
      </c>
      <c r="L192" s="55">
        <v>0.71025115083615908</v>
      </c>
      <c r="M192" s="55"/>
      <c r="N192" s="55">
        <v>0.71024742287932852</v>
      </c>
      <c r="O192" s="55">
        <v>0.71026981373325759</v>
      </c>
      <c r="P192" s="60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60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</row>
    <row r="193" spans="1:98" x14ac:dyDescent="0.3">
      <c r="A193" s="4">
        <v>166</v>
      </c>
      <c r="E193" s="55"/>
      <c r="F193" s="55"/>
      <c r="G193" s="55"/>
      <c r="H193" s="55"/>
      <c r="I193" s="55">
        <v>0.71027289006126215</v>
      </c>
      <c r="J193" s="55">
        <v>0.71026855450376702</v>
      </c>
      <c r="K193" s="55">
        <v>0.71025266290650024</v>
      </c>
      <c r="L193" s="55">
        <v>0.71025266290650024</v>
      </c>
      <c r="M193" s="55"/>
      <c r="N193" s="55">
        <v>0.71023944608572231</v>
      </c>
      <c r="O193" s="55">
        <v>0.7102354959803685</v>
      </c>
      <c r="P193" s="60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60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</row>
    <row r="194" spans="1:98" x14ac:dyDescent="0.3">
      <c r="A194" s="4">
        <v>167</v>
      </c>
      <c r="E194" s="55"/>
      <c r="F194" s="55"/>
      <c r="G194" s="55"/>
      <c r="H194" s="55"/>
      <c r="I194" s="55">
        <v>0.71026608120199353</v>
      </c>
      <c r="J194" s="55">
        <v>0.71026936522175321</v>
      </c>
      <c r="K194" s="55">
        <v>0.71024570799258813</v>
      </c>
      <c r="L194" s="55">
        <v>0.71024570799258813</v>
      </c>
      <c r="M194" s="55"/>
      <c r="N194" s="55">
        <v>0.71025547662335609</v>
      </c>
      <c r="O194" s="55">
        <v>0.71025731356330812</v>
      </c>
      <c r="P194" s="60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60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</row>
    <row r="195" spans="1:98" x14ac:dyDescent="0.3">
      <c r="A195" s="4">
        <v>168</v>
      </c>
      <c r="E195" s="55"/>
      <c r="F195" s="55"/>
      <c r="G195" s="55"/>
      <c r="H195" s="55"/>
      <c r="I195" s="55">
        <v>0.7102679184834062</v>
      </c>
      <c r="J195" s="55">
        <v>0.71026783062861376</v>
      </c>
      <c r="K195" s="55">
        <v>0.71024602058151043</v>
      </c>
      <c r="L195" s="55">
        <v>0.71024602058151043</v>
      </c>
      <c r="M195" s="55"/>
      <c r="N195" s="55">
        <v>0.71025402503388002</v>
      </c>
      <c r="O195" s="55">
        <v>0.71024406809200291</v>
      </c>
      <c r="P195" s="60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60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</row>
    <row r="196" spans="1:98" x14ac:dyDescent="0.3">
      <c r="A196" s="4">
        <v>169</v>
      </c>
      <c r="E196" s="55"/>
      <c r="F196" s="55"/>
      <c r="G196" s="55"/>
      <c r="H196" s="55"/>
      <c r="I196" s="55">
        <v>0.71026298987303249</v>
      </c>
      <c r="J196" s="55">
        <v>0.71026139254120013</v>
      </c>
      <c r="K196" s="55">
        <v>0.71025805907501371</v>
      </c>
      <c r="L196" s="55">
        <v>0.71025805907501371</v>
      </c>
      <c r="M196" s="55"/>
      <c r="N196" s="55">
        <v>0.71025701593010382</v>
      </c>
      <c r="O196" s="55">
        <v>0.7102587845603876</v>
      </c>
      <c r="P196" s="60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60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</row>
    <row r="197" spans="1:98" x14ac:dyDescent="0.3">
      <c r="A197" s="4">
        <v>170</v>
      </c>
      <c r="E197" s="55"/>
      <c r="F197" s="55"/>
      <c r="G197" s="55"/>
      <c r="H197" s="55"/>
      <c r="I197" s="55">
        <v>0.71026899636845331</v>
      </c>
      <c r="J197" s="55">
        <v>0.71025858198317915</v>
      </c>
      <c r="K197" s="55">
        <v>0.71023653573242063</v>
      </c>
      <c r="L197" s="55">
        <v>0.71023653573242063</v>
      </c>
      <c r="M197" s="55"/>
      <c r="N197" s="55">
        <v>0.71023825723015455</v>
      </c>
      <c r="O197" s="55">
        <v>0.71025218258373046</v>
      </c>
      <c r="P197" s="60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60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</row>
    <row r="198" spans="1:98" x14ac:dyDescent="0.3">
      <c r="A198" s="4">
        <v>171</v>
      </c>
      <c r="E198" s="55"/>
      <c r="F198" s="55"/>
      <c r="G198" s="55"/>
      <c r="H198" s="55"/>
      <c r="I198" s="55">
        <v>0.71026252274889878</v>
      </c>
      <c r="J198" s="55">
        <v>0.71025693276567725</v>
      </c>
      <c r="K198" s="55">
        <v>0.71027920159908831</v>
      </c>
      <c r="L198" s="55">
        <v>0.71027920159908831</v>
      </c>
      <c r="M198" s="55"/>
      <c r="N198" s="55">
        <v>0.71024414966374139</v>
      </c>
      <c r="O198" s="55">
        <v>0.71029325567262813</v>
      </c>
      <c r="P198" s="60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60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</row>
    <row r="199" spans="1:98" x14ac:dyDescent="0.3">
      <c r="A199" s="4">
        <v>172</v>
      </c>
      <c r="E199" s="55"/>
      <c r="F199" s="55"/>
      <c r="G199" s="55"/>
      <c r="H199" s="55"/>
      <c r="I199" s="55">
        <v>0.71026731941022103</v>
      </c>
      <c r="J199" s="55">
        <v>0.71027517473359059</v>
      </c>
      <c r="K199" s="55">
        <v>0.71025401959838397</v>
      </c>
      <c r="L199" s="55">
        <v>0.71025330427765299</v>
      </c>
      <c r="M199" s="55"/>
      <c r="N199" s="55">
        <v>0.71022778593729419</v>
      </c>
      <c r="O199" s="55">
        <v>0.71026998032496402</v>
      </c>
      <c r="P199" s="60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60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</row>
    <row r="200" spans="1:98" x14ac:dyDescent="0.3">
      <c r="A200" s="4">
        <v>173</v>
      </c>
      <c r="E200" s="55"/>
      <c r="F200" s="55"/>
      <c r="G200" s="55"/>
      <c r="H200" s="55"/>
      <c r="I200" s="55">
        <v>0.71027096533799516</v>
      </c>
      <c r="J200" s="55">
        <v>0.71027396665727793</v>
      </c>
      <c r="K200" s="55">
        <v>0.71026290120346391</v>
      </c>
      <c r="L200" s="55">
        <v>0.71026219184867601</v>
      </c>
      <c r="M200" s="55"/>
      <c r="N200" s="55">
        <v>0.71025155477689605</v>
      </c>
      <c r="O200" s="55">
        <v>0.71026859120452457</v>
      </c>
      <c r="P200" s="60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60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</row>
    <row r="201" spans="1:98" x14ac:dyDescent="0.3">
      <c r="A201" s="4">
        <v>174</v>
      </c>
      <c r="E201" s="55"/>
      <c r="F201" s="55"/>
      <c r="G201" s="55"/>
      <c r="H201" s="55"/>
      <c r="I201" s="55">
        <v>0.71026921519419617</v>
      </c>
      <c r="J201" s="55">
        <v>0.7102589979634224</v>
      </c>
      <c r="K201" s="55">
        <v>0.71026458185988661</v>
      </c>
      <c r="L201" s="55">
        <v>0.71026385787707258</v>
      </c>
      <c r="M201" s="55"/>
      <c r="N201" s="55">
        <v>0.71025830514588972</v>
      </c>
      <c r="O201" s="55">
        <v>0.71026999312349859</v>
      </c>
      <c r="P201" s="60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60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</row>
    <row r="202" spans="1:98" x14ac:dyDescent="0.3">
      <c r="A202" s="4">
        <v>175</v>
      </c>
      <c r="E202" s="55"/>
      <c r="F202" s="55"/>
      <c r="G202" s="55"/>
      <c r="H202" s="55"/>
      <c r="I202" s="55">
        <v>0.71027166590014423</v>
      </c>
      <c r="J202" s="55">
        <v>0.71026228813990866</v>
      </c>
      <c r="K202" s="55"/>
      <c r="L202" s="55">
        <v>0.71024469433647652</v>
      </c>
      <c r="M202" s="55"/>
      <c r="N202" s="55">
        <v>0.71024963887575754</v>
      </c>
      <c r="O202" s="55">
        <v>0.71025251063368433</v>
      </c>
      <c r="P202" s="60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60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</row>
    <row r="203" spans="1:98" x14ac:dyDescent="0.3">
      <c r="A203" s="4">
        <v>176</v>
      </c>
      <c r="E203" s="55"/>
      <c r="F203" s="55"/>
      <c r="G203" s="55"/>
      <c r="H203" s="55"/>
      <c r="I203" s="55">
        <v>0.71026679518958347</v>
      </c>
      <c r="J203" s="55">
        <v>0.71027033370397985</v>
      </c>
      <c r="K203" s="55"/>
      <c r="L203" s="55">
        <v>0.71024550970215539</v>
      </c>
      <c r="M203" s="55"/>
      <c r="N203" s="55">
        <v>0.71024623038143242</v>
      </c>
      <c r="O203" s="55">
        <v>0.71026609222699821</v>
      </c>
      <c r="P203" s="60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60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</row>
    <row r="204" spans="1:98" x14ac:dyDescent="0.3">
      <c r="A204" s="4">
        <v>177</v>
      </c>
      <c r="E204" s="55"/>
      <c r="F204" s="55"/>
      <c r="G204" s="55"/>
      <c r="H204" s="55"/>
      <c r="I204" s="55">
        <v>0.71026884364655529</v>
      </c>
      <c r="J204" s="55">
        <v>0.71026427430473971</v>
      </c>
      <c r="K204" s="55"/>
      <c r="L204" s="55">
        <v>0.71024816643529332</v>
      </c>
      <c r="M204" s="55"/>
      <c r="N204" s="55">
        <v>0.71025340557850869</v>
      </c>
      <c r="O204" s="55">
        <v>0.71027299713309688</v>
      </c>
      <c r="P204" s="60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60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</row>
    <row r="205" spans="1:98" x14ac:dyDescent="0.3">
      <c r="A205" s="4">
        <v>178</v>
      </c>
      <c r="E205" s="55"/>
      <c r="F205" s="55"/>
      <c r="G205" s="55"/>
      <c r="H205" s="55"/>
      <c r="I205" s="55">
        <v>0.71027086630385206</v>
      </c>
      <c r="J205" s="55">
        <v>0.71027215125494914</v>
      </c>
      <c r="K205" s="55"/>
      <c r="L205" s="55">
        <v>0.71021858555835782</v>
      </c>
      <c r="M205" s="55"/>
      <c r="N205" s="55">
        <v>0.71025669974822203</v>
      </c>
      <c r="O205" s="55">
        <v>0.71026979033404181</v>
      </c>
      <c r="P205" s="60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60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</row>
    <row r="206" spans="1:98" x14ac:dyDescent="0.3">
      <c r="A206" s="4">
        <v>179</v>
      </c>
      <c r="E206" s="55"/>
      <c r="F206" s="55"/>
      <c r="G206" s="55"/>
      <c r="H206" s="55"/>
      <c r="I206" s="55">
        <v>0.71027942253614396</v>
      </c>
      <c r="J206" s="55">
        <v>0.71026151292248318</v>
      </c>
      <c r="K206" s="55"/>
      <c r="L206" s="55">
        <v>0.71027525525531898</v>
      </c>
      <c r="M206" s="55"/>
      <c r="N206" s="55">
        <v>0.71025458043196088</v>
      </c>
      <c r="O206" s="55">
        <v>0.71026808663829133</v>
      </c>
      <c r="P206" s="60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60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</row>
    <row r="207" spans="1:98" x14ac:dyDescent="0.3">
      <c r="A207" s="4">
        <v>180</v>
      </c>
      <c r="E207" s="55"/>
      <c r="F207" s="55"/>
      <c r="G207" s="55"/>
      <c r="H207" s="55"/>
      <c r="I207" s="55">
        <v>0.71027615275442302</v>
      </c>
      <c r="J207" s="55">
        <v>0.71026344570811129</v>
      </c>
      <c r="K207" s="55"/>
      <c r="L207" s="55">
        <v>0.71022790162870275</v>
      </c>
      <c r="M207" s="55"/>
      <c r="N207" s="55">
        <v>0.71025803519255226</v>
      </c>
      <c r="O207" s="55">
        <v>0.71025803113753416</v>
      </c>
      <c r="P207" s="60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60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</row>
    <row r="208" spans="1:98" x14ac:dyDescent="0.3">
      <c r="A208" s="4">
        <v>181</v>
      </c>
      <c r="E208" s="55"/>
      <c r="F208" s="55"/>
      <c r="G208" s="55"/>
      <c r="H208" s="55"/>
      <c r="I208" s="55">
        <v>0.71026891764470668</v>
      </c>
      <c r="J208" s="55">
        <v>0.7102633717474397</v>
      </c>
      <c r="K208" s="55"/>
      <c r="L208" s="55">
        <v>0.71024910147614251</v>
      </c>
      <c r="M208" s="55"/>
      <c r="N208" s="55">
        <v>0.71024281749368112</v>
      </c>
      <c r="O208" s="55">
        <v>0.71025289948813797</v>
      </c>
      <c r="P208" s="60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60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</row>
    <row r="209" spans="1:98" x14ac:dyDescent="0.3">
      <c r="A209" s="4">
        <v>182</v>
      </c>
      <c r="E209" s="55"/>
      <c r="F209" s="55"/>
      <c r="G209" s="55"/>
      <c r="H209" s="55"/>
      <c r="I209" s="55">
        <v>0.71027692068338011</v>
      </c>
      <c r="J209" s="55">
        <v>0.71026410824225816</v>
      </c>
      <c r="K209" s="55"/>
      <c r="L209" s="55">
        <v>0.71026523487108473</v>
      </c>
      <c r="M209" s="55"/>
      <c r="N209" s="55">
        <v>0.71024120475778429</v>
      </c>
      <c r="O209" s="55">
        <v>0.71027060603192504</v>
      </c>
      <c r="P209" s="60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60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</row>
    <row r="210" spans="1:98" x14ac:dyDescent="0.3">
      <c r="A210" s="4">
        <v>183</v>
      </c>
      <c r="E210" s="55"/>
      <c r="F210" s="55"/>
      <c r="G210" s="55"/>
      <c r="H210" s="55"/>
      <c r="I210" s="55">
        <v>0.71028364112725939</v>
      </c>
      <c r="J210" s="55">
        <v>0.71026284145655505</v>
      </c>
      <c r="K210" s="55"/>
      <c r="L210" s="55">
        <v>0.71025782957489714</v>
      </c>
      <c r="M210" s="55"/>
      <c r="N210" s="55">
        <v>0.71025127698524815</v>
      </c>
      <c r="O210" s="55">
        <v>0.71026825375411495</v>
      </c>
      <c r="P210" s="60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60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</row>
    <row r="211" spans="1:98" x14ac:dyDescent="0.3">
      <c r="A211" s="4">
        <v>184</v>
      </c>
      <c r="E211" s="55"/>
      <c r="F211" s="55"/>
      <c r="G211" s="55"/>
      <c r="H211" s="55"/>
      <c r="I211" s="55">
        <v>0.71028438193658461</v>
      </c>
      <c r="J211" s="55">
        <v>0.71026691019061461</v>
      </c>
      <c r="K211" s="55"/>
      <c r="L211" s="55">
        <v>0.71025588413315188</v>
      </c>
      <c r="M211" s="55"/>
      <c r="N211" s="55">
        <v>0.71024393183746592</v>
      </c>
      <c r="O211" s="55">
        <v>0.71026937609760254</v>
      </c>
      <c r="P211" s="60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60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</row>
    <row r="212" spans="1:98" x14ac:dyDescent="0.3">
      <c r="A212" s="4">
        <v>185</v>
      </c>
      <c r="E212" s="55"/>
      <c r="F212" s="55"/>
      <c r="G212" s="55"/>
      <c r="H212" s="55"/>
      <c r="I212" s="55">
        <v>0.71026770967900077</v>
      </c>
      <c r="J212" s="55">
        <v>0.71026201283716472</v>
      </c>
      <c r="K212" s="55"/>
      <c r="L212" s="55">
        <v>0.71025421569410951</v>
      </c>
      <c r="M212" s="55"/>
      <c r="N212" s="55">
        <v>0.71023632095749567</v>
      </c>
      <c r="O212" s="55">
        <v>0.71026790276354224</v>
      </c>
      <c r="P212" s="60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60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</row>
    <row r="213" spans="1:98" x14ac:dyDescent="0.3">
      <c r="A213" s="4">
        <v>186</v>
      </c>
      <c r="E213" s="55"/>
      <c r="F213" s="55"/>
      <c r="G213" s="55"/>
      <c r="H213" s="55"/>
      <c r="I213" s="55">
        <v>0.71027715143589909</v>
      </c>
      <c r="J213" s="55">
        <v>0.71026863636561188</v>
      </c>
      <c r="K213" s="55"/>
      <c r="L213" s="55">
        <v>0.71024309340001479</v>
      </c>
      <c r="M213" s="55"/>
      <c r="N213" s="55">
        <v>0.71025332499129257</v>
      </c>
      <c r="O213" s="55">
        <v>0.7102650069331542</v>
      </c>
      <c r="P213" s="60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60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</row>
    <row r="214" spans="1:98" x14ac:dyDescent="0.3">
      <c r="A214" s="4">
        <v>187</v>
      </c>
      <c r="E214" s="55"/>
      <c r="F214" s="55"/>
      <c r="G214" s="55"/>
      <c r="H214" s="55"/>
      <c r="I214" s="55">
        <v>0.7102770604660491</v>
      </c>
      <c r="J214" s="55">
        <v>0.71025457826639304</v>
      </c>
      <c r="K214" s="55"/>
      <c r="L214" s="55">
        <v>0.71020787765858573</v>
      </c>
      <c r="M214" s="55"/>
      <c r="N214" s="55">
        <v>0.71023703355583534</v>
      </c>
      <c r="O214" s="55">
        <v>0.71028877561647785</v>
      </c>
      <c r="P214" s="60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60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</row>
    <row r="215" spans="1:98" x14ac:dyDescent="0.3">
      <c r="A215" s="4">
        <v>188</v>
      </c>
      <c r="E215" s="55"/>
      <c r="F215" s="55"/>
      <c r="G215" s="55"/>
      <c r="H215" s="55"/>
      <c r="I215" s="55">
        <v>0.71026551462549137</v>
      </c>
      <c r="J215" s="55">
        <v>0.71025813744781718</v>
      </c>
      <c r="K215" s="55"/>
      <c r="L215" s="55">
        <v>0.71022577228521533</v>
      </c>
      <c r="M215" s="55"/>
      <c r="N215" s="55">
        <v>0.71024285053209413</v>
      </c>
      <c r="O215" s="55">
        <v>0.71026613113538872</v>
      </c>
      <c r="P215" s="60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60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</row>
    <row r="216" spans="1:98" x14ac:dyDescent="0.3">
      <c r="A216" s="4">
        <v>189</v>
      </c>
      <c r="E216" s="55"/>
      <c r="F216" s="55"/>
      <c r="G216" s="55"/>
      <c r="H216" s="55"/>
      <c r="I216" s="55">
        <v>0.71028342891936469</v>
      </c>
      <c r="J216" s="55">
        <v>0.71025763785947937</v>
      </c>
      <c r="K216" s="55"/>
      <c r="L216" s="55">
        <v>0.71026753584585323</v>
      </c>
      <c r="M216" s="55"/>
      <c r="N216" s="55">
        <v>0.71024708701460493</v>
      </c>
      <c r="O216" s="55">
        <v>0.71024258917689453</v>
      </c>
      <c r="P216" s="60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60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</row>
    <row r="217" spans="1:98" x14ac:dyDescent="0.3">
      <c r="A217" s="4">
        <v>190</v>
      </c>
      <c r="E217" s="55"/>
      <c r="F217" s="55"/>
      <c r="G217" s="55"/>
      <c r="H217" s="55"/>
      <c r="I217" s="55">
        <v>0.71027026623741529</v>
      </c>
      <c r="J217" s="55">
        <v>0.71024696075878324</v>
      </c>
      <c r="K217" s="55"/>
      <c r="L217" s="55">
        <v>0.71022714755816085</v>
      </c>
      <c r="M217" s="55"/>
      <c r="N217" s="55">
        <v>0.71024803398258674</v>
      </c>
      <c r="O217" s="55">
        <v>0.71027381455279726</v>
      </c>
      <c r="P217" s="60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60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</row>
    <row r="218" spans="1:98" x14ac:dyDescent="0.3">
      <c r="A218" s="4">
        <v>191</v>
      </c>
      <c r="E218" s="55"/>
      <c r="F218" s="55"/>
      <c r="G218" s="55"/>
      <c r="H218" s="55"/>
      <c r="I218" s="55">
        <v>0.71027990907825311</v>
      </c>
      <c r="J218" s="55">
        <v>0.71025882026478349</v>
      </c>
      <c r="K218" s="55"/>
      <c r="L218" s="55">
        <v>0.71027588331379443</v>
      </c>
      <c r="M218" s="55"/>
      <c r="N218" s="55">
        <v>0.71025419570509751</v>
      </c>
      <c r="O218" s="55">
        <v>0.71026344346175307</v>
      </c>
      <c r="P218" s="60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60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</row>
    <row r="219" spans="1:98" x14ac:dyDescent="0.3">
      <c r="A219" s="4">
        <v>192</v>
      </c>
      <c r="E219" s="55"/>
      <c r="F219" s="55"/>
      <c r="G219" s="55"/>
      <c r="H219" s="55"/>
      <c r="I219" s="55">
        <v>0.71028367428920991</v>
      </c>
      <c r="J219" s="55">
        <v>0.71025685930133564</v>
      </c>
      <c r="K219" s="55"/>
      <c r="L219" s="55">
        <v>0.71026750531696381</v>
      </c>
      <c r="M219" s="55"/>
      <c r="N219" s="55">
        <v>0.71024448378167304</v>
      </c>
      <c r="O219" s="55">
        <v>0.71028379549037202</v>
      </c>
      <c r="P219" s="60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60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</row>
    <row r="220" spans="1:98" x14ac:dyDescent="0.3">
      <c r="A220" s="4">
        <v>193</v>
      </c>
      <c r="E220" s="55"/>
      <c r="F220" s="55"/>
      <c r="G220" s="55"/>
      <c r="H220" s="55"/>
      <c r="I220" s="55">
        <v>0.71028661596920373</v>
      </c>
      <c r="J220" s="55">
        <v>0.7102730744622312</v>
      </c>
      <c r="K220" s="55"/>
      <c r="L220" s="55">
        <v>0.71021680830242695</v>
      </c>
      <c r="M220" s="55"/>
      <c r="N220" s="55">
        <v>0.71024387239273079</v>
      </c>
      <c r="O220" s="55">
        <v>0.71027547092775767</v>
      </c>
      <c r="P220" s="60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60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</row>
    <row r="221" spans="1:98" x14ac:dyDescent="0.3">
      <c r="A221" s="4">
        <v>194</v>
      </c>
      <c r="E221" s="55"/>
      <c r="F221" s="55"/>
      <c r="G221" s="55"/>
      <c r="H221" s="55"/>
      <c r="I221" s="55">
        <v>0.71028271126959719</v>
      </c>
      <c r="J221" s="55">
        <v>0.71026313117266326</v>
      </c>
      <c r="K221" s="55"/>
      <c r="L221" s="55">
        <v>0.71023958446377244</v>
      </c>
      <c r="M221" s="55"/>
      <c r="N221" s="55">
        <v>0.71024389311671698</v>
      </c>
      <c r="O221" s="55">
        <v>0.7102734520238756</v>
      </c>
      <c r="P221" s="60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60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</row>
    <row r="222" spans="1:98" x14ac:dyDescent="0.3">
      <c r="A222" s="4">
        <v>195</v>
      </c>
      <c r="E222" s="55"/>
      <c r="F222" s="55"/>
      <c r="G222" s="55"/>
      <c r="H222" s="55"/>
      <c r="I222" s="55">
        <v>0.71027808547145677</v>
      </c>
      <c r="J222" s="55">
        <v>0.71025792386138142</v>
      </c>
      <c r="K222" s="55"/>
      <c r="L222" s="55">
        <v>0.71024658485807191</v>
      </c>
      <c r="M222" s="55"/>
      <c r="N222" s="55">
        <v>0.71023980116622143</v>
      </c>
      <c r="O222" s="55">
        <v>0.71025294923235316</v>
      </c>
      <c r="P222" s="60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60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</row>
    <row r="223" spans="1:98" x14ac:dyDescent="0.3">
      <c r="A223" s="4">
        <v>196</v>
      </c>
      <c r="E223" s="55"/>
      <c r="F223" s="55"/>
      <c r="G223" s="55"/>
      <c r="H223" s="55"/>
      <c r="I223" s="55">
        <v>0.71027512818761529</v>
      </c>
      <c r="J223" s="55">
        <v>0.71026204134358517</v>
      </c>
      <c r="K223" s="55"/>
      <c r="L223" s="55">
        <v>0.71027178889793585</v>
      </c>
      <c r="M223" s="55"/>
      <c r="N223" s="55">
        <v>0.71024395388048323</v>
      </c>
      <c r="O223" s="55">
        <v>0.71026408210422087</v>
      </c>
      <c r="P223" s="60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60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</row>
    <row r="224" spans="1:98" x14ac:dyDescent="0.3">
      <c r="A224" s="4">
        <v>197</v>
      </c>
      <c r="E224" s="55"/>
      <c r="F224" s="55"/>
      <c r="G224" s="55"/>
      <c r="H224" s="55"/>
      <c r="I224" s="55">
        <v>0.7102780216127188</v>
      </c>
      <c r="J224" s="55">
        <v>0.71026461095614546</v>
      </c>
      <c r="K224" s="55"/>
      <c r="L224" s="55">
        <v>0.71026136149305674</v>
      </c>
      <c r="M224" s="55"/>
      <c r="N224" s="55">
        <v>0.71023815885709396</v>
      </c>
      <c r="O224" s="55">
        <v>0.71025461878432161</v>
      </c>
      <c r="P224" s="60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60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</row>
    <row r="225" spans="1:98" x14ac:dyDescent="0.3">
      <c r="A225" s="4">
        <v>198</v>
      </c>
      <c r="E225" s="55"/>
      <c r="F225" s="55"/>
      <c r="G225" s="55"/>
      <c r="H225" s="55"/>
      <c r="I225" s="55">
        <v>0.71028013937009948</v>
      </c>
      <c r="J225" s="55">
        <v>0.71025671978901428</v>
      </c>
      <c r="K225" s="55"/>
      <c r="L225" s="55">
        <v>0.71027109214670137</v>
      </c>
      <c r="M225" s="55"/>
      <c r="N225" s="55">
        <v>0.71024429592679583</v>
      </c>
      <c r="O225" s="55">
        <v>0.71027598025918459</v>
      </c>
      <c r="P225" s="60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60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</row>
    <row r="226" spans="1:98" x14ac:dyDescent="0.3">
      <c r="A226" s="4">
        <v>199</v>
      </c>
      <c r="E226" s="55"/>
      <c r="F226" s="55"/>
      <c r="G226" s="55"/>
      <c r="H226" s="55"/>
      <c r="I226" s="55">
        <v>0.71028074938213515</v>
      </c>
      <c r="J226" s="55">
        <v>0.71026405163250939</v>
      </c>
      <c r="K226" s="55"/>
      <c r="L226" s="55">
        <v>0.71023000345585485</v>
      </c>
      <c r="M226" s="55"/>
      <c r="N226" s="55">
        <v>0.7102569045321816</v>
      </c>
      <c r="O226" s="55">
        <v>0.71027569505099442</v>
      </c>
      <c r="P226" s="60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60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</row>
    <row r="227" spans="1:98" x14ac:dyDescent="0.3">
      <c r="A227" s="4">
        <v>200</v>
      </c>
      <c r="E227" s="55"/>
      <c r="F227" s="55"/>
      <c r="G227" s="55"/>
      <c r="H227" s="55"/>
      <c r="I227" s="55">
        <v>0.71027430164474659</v>
      </c>
      <c r="J227" s="55">
        <v>0.71025841703042947</v>
      </c>
      <c r="K227" s="55"/>
      <c r="L227" s="55">
        <v>0.7102515680992848</v>
      </c>
      <c r="M227" s="55"/>
      <c r="N227" s="55">
        <v>0.71025578667250699</v>
      </c>
      <c r="O227" s="55">
        <v>0.71027227956403205</v>
      </c>
      <c r="P227" s="60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60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</row>
    <row r="228" spans="1:98" x14ac:dyDescent="0.3">
      <c r="E228" s="61"/>
      <c r="F228" s="61"/>
      <c r="G228" s="61"/>
      <c r="H228" s="61"/>
      <c r="I228" s="61">
        <v>0.7102866805965401</v>
      </c>
      <c r="J228" s="61">
        <v>0.71026361632807256</v>
      </c>
      <c r="K228" s="61"/>
      <c r="L228" s="61">
        <v>0.71024162459103146</v>
      </c>
      <c r="M228" s="61"/>
      <c r="N228" s="61"/>
      <c r="O228" s="61">
        <v>0.71026376178523487</v>
      </c>
      <c r="P228" s="60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0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</row>
    <row r="229" spans="1:98" x14ac:dyDescent="0.3">
      <c r="E229" s="61"/>
      <c r="F229" s="61"/>
      <c r="G229" s="61"/>
      <c r="H229" s="61"/>
      <c r="I229" s="61">
        <v>0.71028005922966486</v>
      </c>
      <c r="J229" s="61">
        <v>0.71027144594801084</v>
      </c>
      <c r="K229" s="61"/>
      <c r="L229" s="61">
        <v>0.71024695893431822</v>
      </c>
      <c r="M229" s="61"/>
      <c r="N229" s="61"/>
      <c r="O229" s="61">
        <v>0.71027294318964973</v>
      </c>
      <c r="P229" s="60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0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</row>
    <row r="230" spans="1:98" x14ac:dyDescent="0.3">
      <c r="E230" s="61"/>
      <c r="F230" s="61"/>
      <c r="G230" s="61"/>
      <c r="H230" s="61"/>
      <c r="I230" s="61">
        <v>0.71028076858845346</v>
      </c>
      <c r="J230" s="61">
        <v>0.71026112519514706</v>
      </c>
      <c r="K230" s="61"/>
      <c r="L230" s="61">
        <v>0.71026435082770334</v>
      </c>
      <c r="M230" s="61"/>
      <c r="N230" s="61"/>
      <c r="O230" s="61">
        <v>0.71027706972289939</v>
      </c>
      <c r="P230" s="60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0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</row>
    <row r="231" spans="1:98" x14ac:dyDescent="0.3">
      <c r="E231" s="61"/>
      <c r="F231" s="61"/>
      <c r="G231" s="61"/>
      <c r="H231" s="61"/>
      <c r="I231" s="61">
        <v>0.71027764293251139</v>
      </c>
      <c r="J231" s="61">
        <v>0.71026262336534707</v>
      </c>
      <c r="K231" s="61"/>
      <c r="L231" s="61">
        <v>0.71028370437597299</v>
      </c>
      <c r="M231" s="61"/>
      <c r="N231" s="61"/>
      <c r="O231" s="61">
        <v>0.7102683526641953</v>
      </c>
      <c r="P231" s="60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0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</row>
    <row r="232" spans="1:98" x14ac:dyDescent="0.3">
      <c r="I232" s="5">
        <v>0.71027848888840595</v>
      </c>
      <c r="J232" s="5">
        <v>0.71025523342468078</v>
      </c>
      <c r="L232" s="5">
        <v>0.71025406723466056</v>
      </c>
      <c r="O232" s="5">
        <v>0.71026656092475515</v>
      </c>
    </row>
    <row r="233" spans="1:98" x14ac:dyDescent="0.3">
      <c r="I233" s="5">
        <v>0.7102777416909033</v>
      </c>
      <c r="J233" s="5">
        <v>0.71026029930745294</v>
      </c>
      <c r="L233" s="5">
        <v>0.71024455497549022</v>
      </c>
      <c r="O233" s="5">
        <v>0.71026656188249404</v>
      </c>
    </row>
    <row r="234" spans="1:98" x14ac:dyDescent="0.3">
      <c r="I234" s="5">
        <v>0.71027790299569038</v>
      </c>
      <c r="J234" s="5">
        <v>0.71025515854416554</v>
      </c>
      <c r="L234" s="5">
        <v>0.71024385001157153</v>
      </c>
      <c r="O234" s="5">
        <v>0.71026343205100284</v>
      </c>
    </row>
    <row r="235" spans="1:98" x14ac:dyDescent="0.3">
      <c r="I235" s="5">
        <v>0.7102835292306402</v>
      </c>
      <c r="J235" s="5">
        <v>0.7102684812605935</v>
      </c>
      <c r="L235" s="5">
        <v>0.71023940600377089</v>
      </c>
      <c r="O235" s="5">
        <v>0.71025873115115923</v>
      </c>
    </row>
    <row r="236" spans="1:98" x14ac:dyDescent="0.3">
      <c r="I236" s="5">
        <v>0.71028772657936423</v>
      </c>
      <c r="J236" s="5">
        <v>0.71026573157195672</v>
      </c>
      <c r="L236" s="5">
        <v>0.71026116966906438</v>
      </c>
      <c r="O236" s="5">
        <v>0.71026613682610396</v>
      </c>
    </row>
    <row r="237" spans="1:98" x14ac:dyDescent="0.3">
      <c r="I237" s="5">
        <v>0.71027790806975311</v>
      </c>
      <c r="J237" s="5">
        <v>0.71026258960265576</v>
      </c>
      <c r="L237" s="5">
        <v>0.71024823945510884</v>
      </c>
      <c r="O237" s="5">
        <v>0.71028274685741266</v>
      </c>
    </row>
    <row r="238" spans="1:98" x14ac:dyDescent="0.3">
      <c r="I238" s="5">
        <v>0.71025301657095508</v>
      </c>
      <c r="J238" s="5">
        <v>0.71027401084169572</v>
      </c>
      <c r="L238" s="5">
        <v>0.71025387080891744</v>
      </c>
      <c r="O238" s="5">
        <v>0.71026015287787958</v>
      </c>
    </row>
    <row r="239" spans="1:98" x14ac:dyDescent="0.3">
      <c r="I239" s="5">
        <v>0.71028174373674513</v>
      </c>
      <c r="J239" s="5">
        <v>0.71026574465911685</v>
      </c>
      <c r="L239" s="5">
        <v>0.71029376397033539</v>
      </c>
      <c r="O239" s="5">
        <v>0.71026539765827146</v>
      </c>
    </row>
    <row r="240" spans="1:98" x14ac:dyDescent="0.3">
      <c r="I240" s="5">
        <v>0.71024642241258573</v>
      </c>
      <c r="J240" s="5">
        <v>0.7102668039504958</v>
      </c>
      <c r="L240" s="5">
        <v>0.71027323205750437</v>
      </c>
      <c r="O240" s="5">
        <v>0.71027816301271529</v>
      </c>
    </row>
    <row r="241" spans="9:15" x14ac:dyDescent="0.3">
      <c r="I241" s="5">
        <v>0.71025841065750128</v>
      </c>
      <c r="J241" s="5">
        <v>0.71027187508908507</v>
      </c>
      <c r="L241" s="5">
        <v>0.71028791121638202</v>
      </c>
      <c r="O241" s="5">
        <v>0.71026302350524306</v>
      </c>
    </row>
    <row r="242" spans="9:15" x14ac:dyDescent="0.3">
      <c r="I242" s="5">
        <v>0.71024000908686646</v>
      </c>
      <c r="J242" s="5">
        <v>0.71027462589796286</v>
      </c>
      <c r="L242" s="5">
        <v>0.71024663008757671</v>
      </c>
      <c r="O242" s="5">
        <v>0.71027447107372788</v>
      </c>
    </row>
    <row r="243" spans="9:15" x14ac:dyDescent="0.3">
      <c r="I243" s="5">
        <v>0.71027553809856148</v>
      </c>
      <c r="J243" s="5">
        <v>0.71027492037554085</v>
      </c>
      <c r="L243" s="5">
        <v>0.71025740104379054</v>
      </c>
      <c r="O243" s="5">
        <v>0.71026173361302836</v>
      </c>
    </row>
    <row r="244" spans="9:15" x14ac:dyDescent="0.3">
      <c r="I244" s="5">
        <v>0.71025429718133759</v>
      </c>
      <c r="J244" s="5">
        <v>0.71027898694075631</v>
      </c>
      <c r="L244" s="5">
        <v>0.71027393397468741</v>
      </c>
      <c r="O244" s="5">
        <v>0.71026861362632032</v>
      </c>
    </row>
    <row r="245" spans="9:15" x14ac:dyDescent="0.3">
      <c r="I245" s="5">
        <v>0.71025603854714103</v>
      </c>
      <c r="J245" s="5">
        <v>0.71026406108691809</v>
      </c>
      <c r="L245" s="5">
        <v>0.71025999390264039</v>
      </c>
      <c r="O245" s="5">
        <v>0.71025221466468702</v>
      </c>
    </row>
    <row r="246" spans="9:15" x14ac:dyDescent="0.3">
      <c r="I246" s="5">
        <v>0.71025243028061624</v>
      </c>
      <c r="J246" s="5">
        <v>0.71027973836856217</v>
      </c>
      <c r="L246" s="5">
        <v>0.71027199428403942</v>
      </c>
      <c r="O246" s="5">
        <v>0.7102741426903969</v>
      </c>
    </row>
    <row r="247" spans="9:15" x14ac:dyDescent="0.3">
      <c r="I247" s="5">
        <v>0.71025568370670866</v>
      </c>
      <c r="J247" s="5">
        <v>0.71026891028904526</v>
      </c>
      <c r="L247" s="5">
        <v>0.71022370806345614</v>
      </c>
      <c r="O247" s="5">
        <v>0.71026554742204662</v>
      </c>
    </row>
    <row r="248" spans="9:15" x14ac:dyDescent="0.3">
      <c r="I248" s="5">
        <v>0.71025925545323287</v>
      </c>
      <c r="J248" s="5">
        <v>0.71026591963162145</v>
      </c>
      <c r="L248" s="5">
        <v>0.71023074773802708</v>
      </c>
      <c r="O248" s="5">
        <v>0.7102866965957696</v>
      </c>
    </row>
    <row r="249" spans="9:15" x14ac:dyDescent="0.3">
      <c r="I249" s="5">
        <v>0.71026834652473259</v>
      </c>
      <c r="J249" s="5">
        <v>0.71026049715639361</v>
      </c>
      <c r="L249" s="5">
        <v>0.71027263644316463</v>
      </c>
      <c r="O249" s="5">
        <v>0.71027711910475821</v>
      </c>
    </row>
    <row r="250" spans="9:15" x14ac:dyDescent="0.3">
      <c r="I250" s="5">
        <v>0.71026292108684042</v>
      </c>
      <c r="J250" s="5">
        <v>0.71026356187245487</v>
      </c>
      <c r="L250" s="5">
        <v>0.71026570984091686</v>
      </c>
      <c r="O250" s="5">
        <v>0.71027040300870414</v>
      </c>
    </row>
    <row r="251" spans="9:15" x14ac:dyDescent="0.3">
      <c r="I251" s="5">
        <v>0.71025782378716584</v>
      </c>
      <c r="J251" s="5">
        <v>0.71027091052457558</v>
      </c>
      <c r="L251" s="5">
        <v>0.71027767889279469</v>
      </c>
      <c r="O251" s="5">
        <v>0.71027350519684507</v>
      </c>
    </row>
    <row r="252" spans="9:15" x14ac:dyDescent="0.3">
      <c r="I252" s="5">
        <v>0.71024641343495754</v>
      </c>
      <c r="J252" s="5">
        <v>0.71026907454355315</v>
      </c>
      <c r="L252" s="5">
        <v>0.71027304710236994</v>
      </c>
      <c r="O252" s="5">
        <v>0.71027249141773274</v>
      </c>
    </row>
    <row r="253" spans="9:15" x14ac:dyDescent="0.3">
      <c r="I253" s="5">
        <v>0.71026378423839631</v>
      </c>
      <c r="J253" s="5">
        <v>0.7102698963743308</v>
      </c>
      <c r="L253" s="5">
        <v>0.71023987709174519</v>
      </c>
      <c r="O253" s="5">
        <v>0.7102548122078769</v>
      </c>
    </row>
    <row r="254" spans="9:15" x14ac:dyDescent="0.3">
      <c r="I254" s="5">
        <v>0.71024789613713846</v>
      </c>
      <c r="J254" s="5">
        <v>0.71026498720276154</v>
      </c>
      <c r="L254" s="5">
        <v>0.71025683426748309</v>
      </c>
      <c r="O254" s="5">
        <v>0.7102652804234858</v>
      </c>
    </row>
    <row r="255" spans="9:15" x14ac:dyDescent="0.3">
      <c r="I255" s="5">
        <v>0.71025221552927587</v>
      </c>
      <c r="J255" s="5">
        <v>0.7102687583976226</v>
      </c>
      <c r="L255" s="5">
        <v>0.71023790086940775</v>
      </c>
    </row>
    <row r="256" spans="9:15" x14ac:dyDescent="0.3">
      <c r="I256" s="5">
        <v>0.71025688146556532</v>
      </c>
      <c r="J256" s="5">
        <v>0.71027910915579318</v>
      </c>
      <c r="L256" s="5">
        <v>0.71028562831908026</v>
      </c>
    </row>
    <row r="257" spans="9:12" x14ac:dyDescent="0.3">
      <c r="I257" s="5">
        <v>0.71025826577692985</v>
      </c>
      <c r="J257" s="5">
        <v>0.7102762614219903</v>
      </c>
      <c r="L257" s="5">
        <v>0.710264257071196</v>
      </c>
    </row>
    <row r="258" spans="9:12" x14ac:dyDescent="0.3">
      <c r="I258" s="5">
        <v>0.71025643392321591</v>
      </c>
      <c r="J258" s="5">
        <v>0.71027621933844776</v>
      </c>
      <c r="L258" s="5">
        <v>0.71026519455238235</v>
      </c>
    </row>
    <row r="259" spans="9:12" x14ac:dyDescent="0.3">
      <c r="I259" s="5">
        <v>0.7102521942681207</v>
      </c>
      <c r="J259" s="5">
        <v>0.71027870149517658</v>
      </c>
      <c r="L259" s="5">
        <v>0.71025217486176229</v>
      </c>
    </row>
    <row r="260" spans="9:12" x14ac:dyDescent="0.3">
      <c r="I260" s="5">
        <v>0.71025326456367688</v>
      </c>
      <c r="J260" s="5">
        <v>0.7102671984913197</v>
      </c>
      <c r="L260" s="5">
        <v>0.71026623770013786</v>
      </c>
    </row>
    <row r="261" spans="9:12" x14ac:dyDescent="0.3">
      <c r="I261" s="5">
        <v>0.71024418976404535</v>
      </c>
      <c r="J261" s="5">
        <v>0.71026912280271914</v>
      </c>
      <c r="L261" s="5">
        <v>0.71023718561179605</v>
      </c>
    </row>
    <row r="262" spans="9:12" x14ac:dyDescent="0.3">
      <c r="I262" s="5">
        <v>0.71025707063118948</v>
      </c>
      <c r="J262" s="5">
        <v>0.71026425982421837</v>
      </c>
      <c r="L262" s="5">
        <v>0.71026936825539799</v>
      </c>
    </row>
    <row r="263" spans="9:12" x14ac:dyDescent="0.3">
      <c r="I263" s="5">
        <v>0.71025355490801834</v>
      </c>
      <c r="J263" s="5">
        <v>0.71027257503022867</v>
      </c>
      <c r="L263" s="5">
        <v>0.71025210069513167</v>
      </c>
    </row>
    <row r="264" spans="9:12" x14ac:dyDescent="0.3">
      <c r="I264" s="5">
        <v>0.71025798455810607</v>
      </c>
      <c r="J264" s="5">
        <v>0.71026822854641447</v>
      </c>
      <c r="L264" s="5">
        <v>0.71027867004184075</v>
      </c>
    </row>
    <row r="265" spans="9:12" x14ac:dyDescent="0.3">
      <c r="I265" s="5">
        <v>0.71024492995340671</v>
      </c>
      <c r="J265" s="5">
        <v>0.71027339814806179</v>
      </c>
      <c r="L265" s="5">
        <v>0.71024630163615277</v>
      </c>
    </row>
    <row r="266" spans="9:12" x14ac:dyDescent="0.3">
      <c r="I266" s="5">
        <v>0.71025385757020632</v>
      </c>
      <c r="J266" s="5">
        <v>0.71027321765533191</v>
      </c>
      <c r="L266" s="5">
        <v>0.71027293655543966</v>
      </c>
    </row>
    <row r="267" spans="9:12" x14ac:dyDescent="0.3">
      <c r="I267" s="5">
        <v>0.7102486695331478</v>
      </c>
      <c r="J267" s="5">
        <v>0.71026490958626032</v>
      </c>
      <c r="L267" s="5">
        <v>0.7102761744893773</v>
      </c>
    </row>
    <row r="268" spans="9:12" x14ac:dyDescent="0.3">
      <c r="I268" s="5">
        <v>0.7102461880125629</v>
      </c>
      <c r="J268" s="5">
        <v>0.71026412837301089</v>
      </c>
      <c r="L268" s="5">
        <v>0.71024585251380223</v>
      </c>
    </row>
    <row r="269" spans="9:12" x14ac:dyDescent="0.3">
      <c r="I269" s="5">
        <v>0.71025683629278469</v>
      </c>
      <c r="J269" s="5">
        <v>0.71026063388244987</v>
      </c>
      <c r="L269" s="5">
        <v>0.71024399101839075</v>
      </c>
    </row>
    <row r="270" spans="9:12" x14ac:dyDescent="0.3">
      <c r="I270" s="5">
        <v>0.71025422988059639</v>
      </c>
      <c r="J270" s="5">
        <v>0.7102747753911588</v>
      </c>
      <c r="L270" s="5">
        <v>0.71024299411338065</v>
      </c>
    </row>
    <row r="271" spans="9:12" x14ac:dyDescent="0.3">
      <c r="I271" s="5">
        <v>0.71026415440317425</v>
      </c>
      <c r="J271" s="5">
        <v>0.71026242864117473</v>
      </c>
      <c r="L271" s="5">
        <v>0.71026554928148233</v>
      </c>
    </row>
    <row r="272" spans="9:12" x14ac:dyDescent="0.3">
      <c r="I272" s="5">
        <v>0.71025233938577059</v>
      </c>
      <c r="J272" s="5">
        <v>0.71026498486905465</v>
      </c>
      <c r="L272" s="5">
        <v>0.71027029522306984</v>
      </c>
    </row>
    <row r="273" spans="9:12" x14ac:dyDescent="0.3">
      <c r="I273" s="5">
        <v>0.71026175288436211</v>
      </c>
      <c r="J273" s="5">
        <v>0.71026499561852363</v>
      </c>
      <c r="L273" s="5">
        <v>0.71024326285719774</v>
      </c>
    </row>
    <row r="274" spans="9:12" x14ac:dyDescent="0.3">
      <c r="I274" s="5">
        <v>0.71024487372658329</v>
      </c>
      <c r="J274" s="5">
        <v>0.71027532433909701</v>
      </c>
      <c r="L274" s="5">
        <v>0.7102439096058526</v>
      </c>
    </row>
    <row r="275" spans="9:12" x14ac:dyDescent="0.3">
      <c r="I275" s="5">
        <v>0.71024652828625967</v>
      </c>
      <c r="J275" s="5">
        <v>0.71027960900305009</v>
      </c>
      <c r="L275" s="5">
        <v>0.71025947791961552</v>
      </c>
    </row>
    <row r="276" spans="9:12" x14ac:dyDescent="0.3">
      <c r="I276" s="5">
        <v>0.71025313540771851</v>
      </c>
      <c r="J276" s="5">
        <v>0.71026199582779947</v>
      </c>
      <c r="L276" s="5">
        <v>0.7102686006929757</v>
      </c>
    </row>
    <row r="277" spans="9:12" x14ac:dyDescent="0.3">
      <c r="I277" s="5">
        <v>0.71026100330735265</v>
      </c>
      <c r="J277" s="5">
        <v>0.71025986755127068</v>
      </c>
      <c r="L277" s="5">
        <v>0.71025337712715286</v>
      </c>
    </row>
    <row r="278" spans="9:12" x14ac:dyDescent="0.3">
      <c r="I278" s="5">
        <v>0.71024971493663214</v>
      </c>
      <c r="J278" s="5">
        <v>0.71026232120180899</v>
      </c>
      <c r="L278" s="5">
        <v>0.71023748101849349</v>
      </c>
    </row>
    <row r="279" spans="9:12" x14ac:dyDescent="0.3">
      <c r="I279" s="5">
        <v>0.71025516023910962</v>
      </c>
      <c r="J279" s="5">
        <v>0.71027664087958831</v>
      </c>
      <c r="L279" s="5">
        <v>0.71024276744799308</v>
      </c>
    </row>
    <row r="280" spans="9:12" x14ac:dyDescent="0.3">
      <c r="I280" s="5">
        <v>0.71023887260590368</v>
      </c>
      <c r="J280" s="5">
        <v>0.71026595294278272</v>
      </c>
      <c r="L280" s="5">
        <v>0.71027234990880461</v>
      </c>
    </row>
    <row r="281" spans="9:12" x14ac:dyDescent="0.3">
      <c r="I281" s="5">
        <v>0.71024612828558276</v>
      </c>
      <c r="J281" s="5">
        <v>0.71028137826705229</v>
      </c>
      <c r="L281" s="5">
        <v>0.71025975155306176</v>
      </c>
    </row>
    <row r="282" spans="9:12" x14ac:dyDescent="0.3">
      <c r="I282" s="5">
        <v>0.71024973781568956</v>
      </c>
      <c r="J282" s="5">
        <v>0.71028098472563994</v>
      </c>
      <c r="L282" s="5">
        <v>0.71023900282913577</v>
      </c>
    </row>
    <row r="283" spans="9:12" x14ac:dyDescent="0.3">
      <c r="I283" s="5">
        <v>0.71025704887251695</v>
      </c>
      <c r="J283" s="5">
        <v>0.71025958777511033</v>
      </c>
      <c r="L283" s="5">
        <v>0.71025146079837465</v>
      </c>
    </row>
    <row r="284" spans="9:12" x14ac:dyDescent="0.3">
      <c r="I284" s="5">
        <v>0.71025742046096418</v>
      </c>
      <c r="J284" s="5">
        <v>0.71027084487085579</v>
      </c>
      <c r="L284" s="5">
        <v>0.7102893445338414</v>
      </c>
    </row>
    <row r="285" spans="9:12" x14ac:dyDescent="0.3">
      <c r="I285" s="5">
        <v>0.71026088184772762</v>
      </c>
      <c r="J285" s="5">
        <v>0.71025490846098682</v>
      </c>
      <c r="L285" s="5">
        <v>0.71023698215852271</v>
      </c>
    </row>
    <row r="286" spans="9:12" x14ac:dyDescent="0.3">
      <c r="I286" s="5">
        <v>0.71026098146245864</v>
      </c>
      <c r="J286" s="5">
        <v>0.71027232892231151</v>
      </c>
      <c r="L286" s="5">
        <v>0.71026117810893663</v>
      </c>
    </row>
    <row r="287" spans="9:12" x14ac:dyDescent="0.3">
      <c r="I287" s="5">
        <v>0.7102701526447609</v>
      </c>
      <c r="J287" s="5">
        <v>0.71026648352035793</v>
      </c>
      <c r="L287" s="5">
        <v>0.71025672916706062</v>
      </c>
    </row>
    <row r="288" spans="9:12" x14ac:dyDescent="0.3">
      <c r="I288" s="5">
        <v>0.71026741626937739</v>
      </c>
      <c r="J288" s="5">
        <v>0.71026452303972354</v>
      </c>
      <c r="L288" s="5">
        <v>0.71024940997055253</v>
      </c>
    </row>
    <row r="289" spans="9:12" x14ac:dyDescent="0.3">
      <c r="I289" s="5">
        <v>0.71024898536451919</v>
      </c>
      <c r="J289" s="5">
        <v>0.71026294363943965</v>
      </c>
      <c r="L289" s="5">
        <v>0.71026508985547687</v>
      </c>
    </row>
    <row r="290" spans="9:12" x14ac:dyDescent="0.3">
      <c r="I290" s="5">
        <v>0.7102565902896294</v>
      </c>
      <c r="J290" s="5">
        <v>0.71026589880022095</v>
      </c>
      <c r="L290" s="5">
        <v>0.71027581148680885</v>
      </c>
    </row>
    <row r="291" spans="9:12" x14ac:dyDescent="0.3">
      <c r="I291" s="5">
        <v>0.71025117934948956</v>
      </c>
      <c r="J291" s="5">
        <v>0.71027314147750475</v>
      </c>
      <c r="L291" s="5">
        <v>0.71028914741314575</v>
      </c>
    </row>
    <row r="292" spans="9:12" x14ac:dyDescent="0.3">
      <c r="I292" s="5">
        <v>0.71026010773380333</v>
      </c>
      <c r="J292" s="5">
        <v>0.71025421605600092</v>
      </c>
      <c r="L292" s="5">
        <v>0.71024768287004003</v>
      </c>
    </row>
    <row r="293" spans="9:12" x14ac:dyDescent="0.3">
      <c r="I293" s="5">
        <v>0.71025198466319206</v>
      </c>
      <c r="J293" s="5">
        <v>0.71025707173089914</v>
      </c>
      <c r="L293" s="5">
        <v>0.71026001291895957</v>
      </c>
    </row>
    <row r="294" spans="9:12" x14ac:dyDescent="0.3">
      <c r="I294" s="5">
        <v>0.71025062259651417</v>
      </c>
      <c r="J294" s="5">
        <v>0.71027818332665504</v>
      </c>
      <c r="L294" s="5">
        <v>0.71023905982489388</v>
      </c>
    </row>
    <row r="295" spans="9:12" x14ac:dyDescent="0.3">
      <c r="I295" s="5">
        <v>0.7102579322655076</v>
      </c>
      <c r="J295" s="5">
        <v>0.71026801334200007</v>
      </c>
      <c r="L295" s="5">
        <v>0.71022654543957564</v>
      </c>
    </row>
    <row r="296" spans="9:12" x14ac:dyDescent="0.3">
      <c r="I296" s="5">
        <v>0.71025312178474886</v>
      </c>
      <c r="J296" s="5">
        <v>0.71026830975854738</v>
      </c>
    </row>
    <row r="297" spans="9:12" x14ac:dyDescent="0.3">
      <c r="I297" s="5">
        <v>0.71025280297333859</v>
      </c>
      <c r="J297" s="5">
        <v>0.71028186966988249</v>
      </c>
    </row>
    <row r="298" spans="9:12" x14ac:dyDescent="0.3">
      <c r="I298" s="5">
        <v>0.71026010610776402</v>
      </c>
      <c r="J298" s="5">
        <v>0.7102726090551198</v>
      </c>
    </row>
    <row r="299" spans="9:12" x14ac:dyDescent="0.3">
      <c r="I299" s="5">
        <v>0.71025272539560047</v>
      </c>
      <c r="J299" s="5">
        <v>0.71027391651665117</v>
      </c>
    </row>
    <row r="300" spans="9:12" x14ac:dyDescent="0.3">
      <c r="I300" s="5">
        <v>0.71026100608770337</v>
      </c>
      <c r="J300" s="5">
        <v>0.71026405834092576</v>
      </c>
    </row>
    <row r="301" spans="9:12" x14ac:dyDescent="0.3">
      <c r="I301" s="5">
        <v>0.71025818815097741</v>
      </c>
      <c r="J301" s="5">
        <v>0.71026548444136473</v>
      </c>
    </row>
    <row r="302" spans="9:12" x14ac:dyDescent="0.3">
      <c r="I302" s="5">
        <v>0.71026428009805831</v>
      </c>
      <c r="J302" s="5">
        <v>0.7102601205023461</v>
      </c>
    </row>
    <row r="303" spans="9:12" x14ac:dyDescent="0.3">
      <c r="I303" s="5">
        <v>0.71026051798015566</v>
      </c>
      <c r="J303" s="5">
        <v>0.71027728082076091</v>
      </c>
    </row>
    <row r="304" spans="9:12" x14ac:dyDescent="0.3">
      <c r="I304" s="5">
        <v>0.71025097788384384</v>
      </c>
      <c r="J304" s="5">
        <v>0.71027551467418593</v>
      </c>
    </row>
    <row r="305" spans="9:10" x14ac:dyDescent="0.3">
      <c r="I305" s="5">
        <v>0.7102532846179862</v>
      </c>
      <c r="J305" s="5">
        <v>0.71027878457783622</v>
      </c>
    </row>
    <row r="306" spans="9:10" x14ac:dyDescent="0.3">
      <c r="I306" s="5">
        <v>0.71025238188792439</v>
      </c>
      <c r="J306" s="5">
        <v>0.71026699192231435</v>
      </c>
    </row>
    <row r="307" spans="9:10" x14ac:dyDescent="0.3">
      <c r="I307" s="5">
        <v>0.71025245487521182</v>
      </c>
      <c r="J307" s="5">
        <v>0.71026323983498674</v>
      </c>
    </row>
    <row r="308" spans="9:10" x14ac:dyDescent="0.3">
      <c r="I308" s="5">
        <v>0.71026325844068861</v>
      </c>
      <c r="J308" s="5">
        <v>0.71026444209657924</v>
      </c>
    </row>
    <row r="309" spans="9:10" x14ac:dyDescent="0.3">
      <c r="I309" s="5">
        <v>0.71024644794209135</v>
      </c>
      <c r="J309" s="5">
        <v>0.71026362148952571</v>
      </c>
    </row>
    <row r="310" spans="9:10" x14ac:dyDescent="0.3">
      <c r="I310" s="5">
        <v>0.71025537678225148</v>
      </c>
      <c r="J310" s="5">
        <v>0.71026248393400482</v>
      </c>
    </row>
    <row r="311" spans="9:10" x14ac:dyDescent="0.3">
      <c r="I311" s="5">
        <v>0.71026650190019136</v>
      </c>
      <c r="J311" s="5">
        <v>0.71026912483013682</v>
      </c>
    </row>
    <row r="312" spans="9:10" x14ac:dyDescent="0.3">
      <c r="I312" s="5">
        <v>0.71025423430307688</v>
      </c>
      <c r="J312" s="5">
        <v>0.7102779482101127</v>
      </c>
    </row>
    <row r="313" spans="9:10" x14ac:dyDescent="0.3">
      <c r="I313" s="5">
        <v>0.71025053182038855</v>
      </c>
      <c r="J313" s="5">
        <v>0.71026407335464703</v>
      </c>
    </row>
    <row r="314" spans="9:10" x14ac:dyDescent="0.3">
      <c r="I314" s="5">
        <v>0.71025205353211884</v>
      </c>
      <c r="J314" s="5">
        <v>0.71028091122284043</v>
      </c>
    </row>
    <row r="315" spans="9:10" x14ac:dyDescent="0.3">
      <c r="I315" s="5">
        <v>0.71025799498785791</v>
      </c>
      <c r="J315" s="5">
        <v>0.71027665888973079</v>
      </c>
    </row>
    <row r="316" spans="9:10" x14ac:dyDescent="0.3">
      <c r="I316" s="5">
        <v>0.71025290066942903</v>
      </c>
      <c r="J316" s="5">
        <v>0.71027226086260409</v>
      </c>
    </row>
    <row r="317" spans="9:10" x14ac:dyDescent="0.3">
      <c r="I317" s="5">
        <v>0.71025515240651793</v>
      </c>
      <c r="J317" s="5">
        <v>0.71028686870005209</v>
      </c>
    </row>
    <row r="318" spans="9:10" x14ac:dyDescent="0.3">
      <c r="I318" s="5">
        <v>0.71024715233893299</v>
      </c>
      <c r="J318" s="5">
        <v>0.71027473114025019</v>
      </c>
    </row>
    <row r="319" spans="9:10" x14ac:dyDescent="0.3">
      <c r="I319" s="5">
        <v>0.71025513645562877</v>
      </c>
      <c r="J319" s="5">
        <v>0.71028092220966554</v>
      </c>
    </row>
    <row r="320" spans="9:10" x14ac:dyDescent="0.3">
      <c r="I320" s="5">
        <v>0.71026002607469851</v>
      </c>
      <c r="J320" s="5">
        <v>0.71026036827321937</v>
      </c>
    </row>
    <row r="321" spans="9:10" x14ac:dyDescent="0.3">
      <c r="I321" s="5">
        <v>0.71025627302350192</v>
      </c>
      <c r="J321" s="5">
        <v>0.71027673038250072</v>
      </c>
    </row>
    <row r="322" spans="9:10" x14ac:dyDescent="0.3">
      <c r="I322" s="5">
        <v>0.71025869791999541</v>
      </c>
      <c r="J322" s="5">
        <v>0.71027571898210995</v>
      </c>
    </row>
    <row r="323" spans="9:10" x14ac:dyDescent="0.3">
      <c r="I323" s="5">
        <v>0.71025525172907289</v>
      </c>
      <c r="J323" s="5">
        <v>0.71027005394100629</v>
      </c>
    </row>
    <row r="324" spans="9:10" x14ac:dyDescent="0.3">
      <c r="I324" s="5">
        <v>0.71025840530489537</v>
      </c>
      <c r="J324" s="5">
        <v>0.71026752375652369</v>
      </c>
    </row>
    <row r="325" spans="9:10" x14ac:dyDescent="0.3">
      <c r="I325" s="5">
        <v>0.71026715265175022</v>
      </c>
      <c r="J325" s="5">
        <v>0.71026274066532435</v>
      </c>
    </row>
    <row r="326" spans="9:10" x14ac:dyDescent="0.3">
      <c r="I326" s="5">
        <v>0.71026187432550725</v>
      </c>
      <c r="J326" s="5">
        <v>0.71025960755957551</v>
      </c>
    </row>
    <row r="327" spans="9:10" x14ac:dyDescent="0.3">
      <c r="I327" s="5">
        <v>0.71024955827325609</v>
      </c>
      <c r="J327" s="5">
        <v>0.71025691798572488</v>
      </c>
    </row>
    <row r="328" spans="9:10" x14ac:dyDescent="0.3">
      <c r="I328" s="5">
        <v>0.71025445842051382</v>
      </c>
      <c r="J328" s="5">
        <v>0.71027046270696581</v>
      </c>
    </row>
    <row r="329" spans="9:10" x14ac:dyDescent="0.3">
      <c r="I329" s="5">
        <v>0.71025275069055427</v>
      </c>
      <c r="J329" s="5">
        <v>0.71026955175143702</v>
      </c>
    </row>
    <row r="330" spans="9:10" x14ac:dyDescent="0.3">
      <c r="I330" s="5">
        <v>0.71026341092040712</v>
      </c>
      <c r="J330" s="5">
        <v>0.71027132373976531</v>
      </c>
    </row>
    <row r="331" spans="9:10" x14ac:dyDescent="0.3">
      <c r="I331" s="5">
        <v>0.71025581339236588</v>
      </c>
      <c r="J331" s="5">
        <v>0.71025667597402642</v>
      </c>
    </row>
    <row r="332" spans="9:10" x14ac:dyDescent="0.3">
      <c r="I332" s="5">
        <v>0.71025910822710137</v>
      </c>
      <c r="J332" s="5">
        <v>0.71026200278377971</v>
      </c>
    </row>
    <row r="333" spans="9:10" x14ac:dyDescent="0.3">
      <c r="I333" s="5">
        <v>0.71024543362539816</v>
      </c>
      <c r="J333" s="5">
        <v>0.71026724263828667</v>
      </c>
    </row>
    <row r="334" spans="9:10" x14ac:dyDescent="0.3">
      <c r="I334" s="5">
        <v>0.7102467682463296</v>
      </c>
      <c r="J334" s="5">
        <v>0.71027367878219572</v>
      </c>
    </row>
    <row r="335" spans="9:10" x14ac:dyDescent="0.3">
      <c r="I335" s="5">
        <v>0.71025000207827371</v>
      </c>
      <c r="J335" s="5">
        <v>0.71027489988807746</v>
      </c>
    </row>
    <row r="336" spans="9:10" x14ac:dyDescent="0.3">
      <c r="I336" s="5">
        <v>0.71025393297987982</v>
      </c>
      <c r="J336" s="5">
        <v>0.7102724470767342</v>
      </c>
    </row>
    <row r="337" spans="9:10" x14ac:dyDescent="0.3">
      <c r="I337" s="5">
        <v>0.71025120685739507</v>
      </c>
      <c r="J337" s="5">
        <v>0.71026868731088932</v>
      </c>
    </row>
    <row r="338" spans="9:10" x14ac:dyDescent="0.3">
      <c r="I338" s="5">
        <v>0.7102625296901699</v>
      </c>
      <c r="J338" s="5">
        <v>0.71027003921003351</v>
      </c>
    </row>
    <row r="339" spans="9:10" x14ac:dyDescent="0.3">
      <c r="I339" s="5">
        <v>0.71025204625826932</v>
      </c>
      <c r="J339" s="5">
        <v>0.71026461172653721</v>
      </c>
    </row>
    <row r="340" spans="9:10" x14ac:dyDescent="0.3">
      <c r="I340" s="5">
        <v>0.71025277359387229</v>
      </c>
      <c r="J340" s="5">
        <v>0.71027173855517334</v>
      </c>
    </row>
    <row r="341" spans="9:10" x14ac:dyDescent="0.3">
      <c r="I341" s="5">
        <v>0.71025095512785019</v>
      </c>
      <c r="J341" s="5">
        <v>0.71028231594581515</v>
      </c>
    </row>
    <row r="342" spans="9:10" x14ac:dyDescent="0.3">
      <c r="I342" s="5">
        <v>0.7102495583519548</v>
      </c>
      <c r="J342" s="5">
        <v>0.710273620905992</v>
      </c>
    </row>
    <row r="343" spans="9:10" x14ac:dyDescent="0.3">
      <c r="I343" s="5">
        <v>0.71025015181644391</v>
      </c>
      <c r="J343" s="5">
        <v>0.71027882362211225</v>
      </c>
    </row>
    <row r="344" spans="9:10" x14ac:dyDescent="0.3">
      <c r="I344" s="5">
        <v>0.71025896037713365</v>
      </c>
      <c r="J344" s="5">
        <v>0.71027523147949889</v>
      </c>
    </row>
    <row r="345" spans="9:10" x14ac:dyDescent="0.3">
      <c r="I345" s="5">
        <v>0.71025649989851503</v>
      </c>
      <c r="J345" s="5">
        <v>0.71027575871934079</v>
      </c>
    </row>
    <row r="346" spans="9:10" x14ac:dyDescent="0.3">
      <c r="I346" s="5">
        <v>0.71025904509145532</v>
      </c>
    </row>
    <row r="347" spans="9:10" x14ac:dyDescent="0.3">
      <c r="I347" s="5">
        <v>0.71025443142148847</v>
      </c>
    </row>
    <row r="348" spans="9:10" x14ac:dyDescent="0.3">
      <c r="I348" s="5">
        <v>0.71025867788679398</v>
      </c>
    </row>
    <row r="349" spans="9:10" x14ac:dyDescent="0.3">
      <c r="I349" s="5">
        <v>0.71025456466456438</v>
      </c>
    </row>
    <row r="350" spans="9:10" x14ac:dyDescent="0.3">
      <c r="I350" s="5">
        <v>0.71025245544719984</v>
      </c>
    </row>
    <row r="351" spans="9:10" x14ac:dyDescent="0.3">
      <c r="I351" s="5">
        <v>0.71024991723853137</v>
      </c>
    </row>
    <row r="352" spans="9:10" x14ac:dyDescent="0.3">
      <c r="I352" s="5">
        <v>0.71026093536002655</v>
      </c>
    </row>
    <row r="353" spans="9:9" x14ac:dyDescent="0.3">
      <c r="I353" s="5">
        <v>0.71026925968327093</v>
      </c>
    </row>
    <row r="354" spans="9:9" x14ac:dyDescent="0.3">
      <c r="I354" s="5">
        <v>0.71024987220408076</v>
      </c>
    </row>
    <row r="355" spans="9:9" x14ac:dyDescent="0.3">
      <c r="I355" s="5">
        <v>0.71025816617196458</v>
      </c>
    </row>
    <row r="356" spans="9:9" x14ac:dyDescent="0.3">
      <c r="I356" s="5">
        <v>0.71025329342931776</v>
      </c>
    </row>
    <row r="357" spans="9:9" x14ac:dyDescent="0.3">
      <c r="I357" s="5">
        <v>0.71025653071452921</v>
      </c>
    </row>
    <row r="358" spans="9:9" x14ac:dyDescent="0.3">
      <c r="I358" s="5">
        <v>0.71025282922956434</v>
      </c>
    </row>
    <row r="359" spans="9:9" x14ac:dyDescent="0.3">
      <c r="I359" s="5">
        <v>0.71025490989077</v>
      </c>
    </row>
    <row r="360" spans="9:9" x14ac:dyDescent="0.3">
      <c r="I360" s="5">
        <v>0.71025221723070153</v>
      </c>
    </row>
    <row r="361" spans="9:9" x14ac:dyDescent="0.3">
      <c r="I361" s="5">
        <v>0.71025318855461106</v>
      </c>
    </row>
    <row r="362" spans="9:9" x14ac:dyDescent="0.3">
      <c r="I362" s="5">
        <v>0.71026394771634016</v>
      </c>
    </row>
    <row r="363" spans="9:9" x14ac:dyDescent="0.3">
      <c r="I363" s="5">
        <v>0.71026265113692899</v>
      </c>
    </row>
    <row r="364" spans="9:9" x14ac:dyDescent="0.3">
      <c r="I364" s="5">
        <v>0.71027038371406737</v>
      </c>
    </row>
    <row r="365" spans="9:9" x14ac:dyDescent="0.3">
      <c r="I365" s="5">
        <v>0.71026511775396817</v>
      </c>
    </row>
    <row r="366" spans="9:9" x14ac:dyDescent="0.3">
      <c r="I366" s="5">
        <v>0.71026265846795866</v>
      </c>
    </row>
    <row r="367" spans="9:9" x14ac:dyDescent="0.3">
      <c r="I367" s="5">
        <v>0.71025692690420406</v>
      </c>
    </row>
    <row r="368" spans="9:9" x14ac:dyDescent="0.3">
      <c r="I368" s="5">
        <v>0.71025231110916964</v>
      </c>
    </row>
    <row r="369" spans="9:9" x14ac:dyDescent="0.3">
      <c r="I369" s="5">
        <v>0.71024917664422293</v>
      </c>
    </row>
    <row r="370" spans="9:9" x14ac:dyDescent="0.3">
      <c r="I370" s="5">
        <v>0.71026345910356947</v>
      </c>
    </row>
    <row r="371" spans="9:9" x14ac:dyDescent="0.3">
      <c r="I371" s="5">
        <v>0.71026150465294857</v>
      </c>
    </row>
    <row r="372" spans="9:9" x14ac:dyDescent="0.3">
      <c r="I372" s="5">
        <v>0.71024793678809073</v>
      </c>
    </row>
    <row r="373" spans="9:9" x14ac:dyDescent="0.3">
      <c r="I373" s="5">
        <v>0.71027097818713891</v>
      </c>
    </row>
    <row r="374" spans="9:9" x14ac:dyDescent="0.3">
      <c r="I374" s="5">
        <v>0.71026311478509363</v>
      </c>
    </row>
    <row r="375" spans="9:9" x14ac:dyDescent="0.3">
      <c r="I375" s="5">
        <v>0.71024694405507571</v>
      </c>
    </row>
    <row r="376" spans="9:9" x14ac:dyDescent="0.3">
      <c r="I376" s="5">
        <v>0.71025842483779822</v>
      </c>
    </row>
    <row r="377" spans="9:9" x14ac:dyDescent="0.3">
      <c r="I377" s="5">
        <v>0.71024947288853735</v>
      </c>
    </row>
    <row r="378" spans="9:9" x14ac:dyDescent="0.3">
      <c r="I378" s="5">
        <v>0.71026067921274816</v>
      </c>
    </row>
    <row r="379" spans="9:9" x14ac:dyDescent="0.3">
      <c r="I379" s="5">
        <v>0.71025208030934517</v>
      </c>
    </row>
    <row r="380" spans="9:9" x14ac:dyDescent="0.3">
      <c r="I380" s="5">
        <v>0.71025609476099572</v>
      </c>
    </row>
    <row r="381" spans="9:9" x14ac:dyDescent="0.3">
      <c r="I381" s="5">
        <v>0.71026346135909713</v>
      </c>
    </row>
    <row r="382" spans="9:9" x14ac:dyDescent="0.3">
      <c r="I382" s="5">
        <v>0.71026665193892857</v>
      </c>
    </row>
    <row r="383" spans="9:9" x14ac:dyDescent="0.3">
      <c r="I383" s="5">
        <v>0.71025653561349589</v>
      </c>
    </row>
    <row r="384" spans="9:9" x14ac:dyDescent="0.3">
      <c r="I384" s="5">
        <v>0.71025653011130441</v>
      </c>
    </row>
    <row r="385" spans="9:9" x14ac:dyDescent="0.3">
      <c r="I385" s="5">
        <v>0.71024522300499116</v>
      </c>
    </row>
  </sheetData>
  <mergeCells count="3">
    <mergeCell ref="E1:O1"/>
    <mergeCell ref="Q1:AH1"/>
    <mergeCell ref="AJ1:CT1"/>
  </mergeCells>
  <phoneticPr fontId="1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87Sr.86Sr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Julianne Stamer</cp:lastModifiedBy>
  <dcterms:modified xsi:type="dcterms:W3CDTF">2026-01-26T15:52:26Z</dcterms:modified>
</cp:coreProperties>
</file>