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4182f7f22ae68e/Documents/Arizona State/Phaleron/4_Manuscripts and Presentations/Strontium/JAS manuscript/"/>
    </mc:Choice>
  </mc:AlternateContent>
  <xr:revisionPtr revIDLastSave="640" documentId="8_{BF509EE1-6BD5-4D04-B89F-33E408048E6A}" xr6:coauthVersionLast="47" xr6:coauthVersionMax="47" xr10:uidLastSave="{FF716999-D2B9-4C54-AF99-1D098BBC1B2F}"/>
  <bookViews>
    <workbookView minimized="1" xWindow="-23760" yWindow="1440" windowWidth="18900" windowHeight="10890" activeTab="1" xr2:uid="{01D31E82-7124-447C-964A-91771EEF034D}"/>
  </bookViews>
  <sheets>
    <sheet name="iCAP NIST 1400 compiled" sheetId="18" r:id="rId1"/>
    <sheet name="iCAP concentrations in sample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43" i="18" l="1"/>
  <c r="AC59" i="18"/>
  <c r="AB59" i="18"/>
  <c r="AA59" i="18"/>
  <c r="Z59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Q73" i="18"/>
  <c r="R73" i="18"/>
  <c r="S73" i="18"/>
  <c r="T73" i="18"/>
  <c r="U73" i="18"/>
  <c r="X73" i="18"/>
  <c r="Y73" i="18"/>
  <c r="Z73" i="18"/>
  <c r="AA73" i="18"/>
  <c r="AB73" i="18"/>
  <c r="AE73" i="18"/>
  <c r="AF73" i="18"/>
  <c r="AG73" i="18"/>
  <c r="AH73" i="18"/>
  <c r="AI73" i="18"/>
  <c r="AJ73" i="18"/>
  <c r="AK73" i="18"/>
  <c r="AL73" i="18"/>
  <c r="AN73" i="18"/>
  <c r="AP73" i="18"/>
  <c r="AR73" i="18"/>
  <c r="AS73" i="18"/>
  <c r="AV73" i="18"/>
  <c r="AW73" i="18"/>
  <c r="BC73" i="18"/>
  <c r="C73" i="18"/>
  <c r="D72" i="18"/>
  <c r="D74" i="18" s="1"/>
  <c r="E72" i="18"/>
  <c r="E74" i="18" s="1"/>
  <c r="F72" i="18"/>
  <c r="G72" i="18"/>
  <c r="H72" i="18"/>
  <c r="I72" i="18"/>
  <c r="J72" i="18"/>
  <c r="K72" i="18"/>
  <c r="L72" i="18"/>
  <c r="M72" i="18"/>
  <c r="N72" i="18"/>
  <c r="O72" i="18"/>
  <c r="Q72" i="18"/>
  <c r="R72" i="18"/>
  <c r="S72" i="18"/>
  <c r="T72" i="18"/>
  <c r="U72" i="18"/>
  <c r="X72" i="18"/>
  <c r="X74" i="18" s="1"/>
  <c r="Y72" i="18"/>
  <c r="Y74" i="18" s="1"/>
  <c r="Z72" i="18"/>
  <c r="Z74" i="18" s="1"/>
  <c r="AA72" i="18"/>
  <c r="AA74" i="18" s="1"/>
  <c r="AB72" i="18"/>
  <c r="AB74" i="18" s="1"/>
  <c r="AE72" i="18"/>
  <c r="AE74" i="18" s="1"/>
  <c r="AF72" i="18"/>
  <c r="AF74" i="18" s="1"/>
  <c r="AG72" i="18"/>
  <c r="AG74" i="18" s="1"/>
  <c r="AH72" i="18"/>
  <c r="AH74" i="18" s="1"/>
  <c r="AI72" i="18"/>
  <c r="AI74" i="18" s="1"/>
  <c r="AJ72" i="18"/>
  <c r="AJ74" i="18" s="1"/>
  <c r="AK72" i="18"/>
  <c r="AK74" i="18" s="1"/>
  <c r="AL72" i="18"/>
  <c r="AL74" i="18" s="1"/>
  <c r="AN72" i="18"/>
  <c r="AN74" i="18" s="1"/>
  <c r="AP72" i="18"/>
  <c r="AP74" i="18" s="1"/>
  <c r="AR72" i="18"/>
  <c r="AS72" i="18"/>
  <c r="AS74" i="18" s="1"/>
  <c r="AV72" i="18"/>
  <c r="AV74" i="18" s="1"/>
  <c r="AW72" i="18"/>
  <c r="AW74" i="18" s="1"/>
  <c r="BC72" i="18"/>
  <c r="BC74" i="18" s="1"/>
  <c r="C72" i="18"/>
  <c r="D68" i="18"/>
  <c r="E68" i="18"/>
  <c r="F68" i="18"/>
  <c r="H68" i="18"/>
  <c r="I68" i="18"/>
  <c r="J68" i="18"/>
  <c r="K68" i="18"/>
  <c r="L68" i="18"/>
  <c r="M68" i="18"/>
  <c r="N68" i="18"/>
  <c r="O68" i="18"/>
  <c r="Q68" i="18"/>
  <c r="R68" i="18"/>
  <c r="S68" i="18"/>
  <c r="T68" i="18"/>
  <c r="U68" i="18"/>
  <c r="X68" i="18"/>
  <c r="Y68" i="18"/>
  <c r="Z68" i="18"/>
  <c r="AA68" i="18"/>
  <c r="AF68" i="18"/>
  <c r="AG68" i="18"/>
  <c r="AH68" i="18"/>
  <c r="AI68" i="18"/>
  <c r="AJ68" i="18"/>
  <c r="AK68" i="18"/>
  <c r="AL68" i="18"/>
  <c r="AM68" i="18"/>
  <c r="AN68" i="18"/>
  <c r="AP68" i="18"/>
  <c r="AV68" i="18"/>
  <c r="AW68" i="18"/>
  <c r="AZ68" i="18"/>
  <c r="BA68" i="18"/>
  <c r="BB68" i="18"/>
  <c r="BC68" i="18"/>
  <c r="C68" i="18"/>
  <c r="D67" i="18"/>
  <c r="E67" i="18"/>
  <c r="F67" i="18"/>
  <c r="H67" i="18"/>
  <c r="I67" i="18"/>
  <c r="J67" i="18"/>
  <c r="K67" i="18"/>
  <c r="L67" i="18"/>
  <c r="M67" i="18"/>
  <c r="N67" i="18"/>
  <c r="O67" i="18"/>
  <c r="Q67" i="18"/>
  <c r="R67" i="18"/>
  <c r="S67" i="18"/>
  <c r="T67" i="18"/>
  <c r="U67" i="18"/>
  <c r="X67" i="18"/>
  <c r="Y67" i="18"/>
  <c r="Z67" i="18"/>
  <c r="AA67" i="18"/>
  <c r="AF67" i="18"/>
  <c r="AF69" i="18" s="1"/>
  <c r="AG67" i="18"/>
  <c r="AG69" i="18" s="1"/>
  <c r="AH67" i="18"/>
  <c r="AH69" i="18" s="1"/>
  <c r="AI67" i="18"/>
  <c r="AI69" i="18" s="1"/>
  <c r="AJ67" i="18"/>
  <c r="AJ69" i="18" s="1"/>
  <c r="AK67" i="18"/>
  <c r="AK69" i="18" s="1"/>
  <c r="AL67" i="18"/>
  <c r="AL69" i="18" s="1"/>
  <c r="AM67" i="18"/>
  <c r="AM69" i="18" s="1"/>
  <c r="AN67" i="18"/>
  <c r="AN69" i="18" s="1"/>
  <c r="AP67" i="18"/>
  <c r="AP69" i="18" s="1"/>
  <c r="AV67" i="18"/>
  <c r="AV69" i="18" s="1"/>
  <c r="AW67" i="18"/>
  <c r="AW69" i="18" s="1"/>
  <c r="AZ67" i="18"/>
  <c r="AZ69" i="18" s="1"/>
  <c r="BA67" i="18"/>
  <c r="BA69" i="18" s="1"/>
  <c r="BB67" i="18"/>
  <c r="BB69" i="18" s="1"/>
  <c r="BC67" i="18"/>
  <c r="C67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R63" i="18"/>
  <c r="S63" i="18"/>
  <c r="T63" i="18"/>
  <c r="U63" i="18"/>
  <c r="X63" i="18"/>
  <c r="Y63" i="18"/>
  <c r="Z63" i="18"/>
  <c r="AA63" i="18"/>
  <c r="AB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V63" i="18"/>
  <c r="AW63" i="18"/>
  <c r="AZ63" i="18"/>
  <c r="BA63" i="18"/>
  <c r="BB63" i="18"/>
  <c r="BC63" i="18"/>
  <c r="BD63" i="18"/>
  <c r="C63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R62" i="18"/>
  <c r="S62" i="18"/>
  <c r="T62" i="18"/>
  <c r="U62" i="18"/>
  <c r="X62" i="18"/>
  <c r="Y62" i="18"/>
  <c r="Z62" i="18"/>
  <c r="AA62" i="18"/>
  <c r="AB62" i="18"/>
  <c r="AD62" i="18"/>
  <c r="AE62" i="18"/>
  <c r="AF62" i="18"/>
  <c r="AG62" i="18"/>
  <c r="AH62" i="18"/>
  <c r="AI62" i="18"/>
  <c r="AI64" i="18" s="1"/>
  <c r="AJ62" i="18"/>
  <c r="AJ64" i="18" s="1"/>
  <c r="AK62" i="18"/>
  <c r="AK64" i="18" s="1"/>
  <c r="AL62" i="18"/>
  <c r="AL64" i="18" s="1"/>
  <c r="AM62" i="18"/>
  <c r="AM64" i="18" s="1"/>
  <c r="AN62" i="18"/>
  <c r="AN64" i="18" s="1"/>
  <c r="AO62" i="18"/>
  <c r="AP62" i="18"/>
  <c r="AP64" i="18" s="1"/>
  <c r="AV62" i="18"/>
  <c r="AW62" i="18"/>
  <c r="AZ62" i="18"/>
  <c r="AZ64" i="18" s="1"/>
  <c r="BA62" i="18"/>
  <c r="BA64" i="18" s="1"/>
  <c r="BB62" i="18"/>
  <c r="BB64" i="18" s="1"/>
  <c r="BC62" i="18"/>
  <c r="BD62" i="18"/>
  <c r="BD64" i="18" s="1"/>
  <c r="C62" i="18"/>
  <c r="D47" i="18"/>
  <c r="E47" i="18"/>
  <c r="F47" i="18"/>
  <c r="H47" i="18"/>
  <c r="I47" i="18"/>
  <c r="K47" i="18"/>
  <c r="M47" i="18"/>
  <c r="N47" i="18"/>
  <c r="O47" i="18"/>
  <c r="X47" i="18"/>
  <c r="Y47" i="18"/>
  <c r="Z47" i="18"/>
  <c r="AA47" i="18"/>
  <c r="AB47" i="18"/>
  <c r="AC47" i="18"/>
  <c r="AG47" i="18"/>
  <c r="AI47" i="18"/>
  <c r="AJ47" i="18"/>
  <c r="AK47" i="18"/>
  <c r="AL47" i="18"/>
  <c r="AM47" i="18"/>
  <c r="AN47" i="18"/>
  <c r="AO47" i="18"/>
  <c r="AP47" i="18"/>
  <c r="AQ47" i="18"/>
  <c r="AR47" i="18"/>
  <c r="AS47" i="18"/>
  <c r="AT47" i="18"/>
  <c r="AU47" i="18"/>
  <c r="AZ47" i="18"/>
  <c r="BA47" i="18"/>
  <c r="BB47" i="18"/>
  <c r="BD47" i="18"/>
  <c r="C47" i="18"/>
  <c r="D46" i="18"/>
  <c r="E46" i="18"/>
  <c r="F46" i="18"/>
  <c r="H46" i="18"/>
  <c r="I46" i="18"/>
  <c r="K46" i="18"/>
  <c r="M46" i="18"/>
  <c r="N46" i="18"/>
  <c r="O46" i="18"/>
  <c r="X46" i="18"/>
  <c r="Y46" i="18"/>
  <c r="Z46" i="18"/>
  <c r="AA46" i="18"/>
  <c r="AB46" i="18"/>
  <c r="AC46" i="18"/>
  <c r="AG46" i="18"/>
  <c r="AI46" i="18"/>
  <c r="AJ46" i="18"/>
  <c r="AK46" i="18"/>
  <c r="AL46" i="18"/>
  <c r="AM46" i="18"/>
  <c r="AN46" i="18"/>
  <c r="AO46" i="18"/>
  <c r="AP46" i="18"/>
  <c r="AQ46" i="18"/>
  <c r="AR46" i="18"/>
  <c r="AS46" i="18"/>
  <c r="AT46" i="18"/>
  <c r="AU46" i="18"/>
  <c r="AZ46" i="18"/>
  <c r="BA46" i="18"/>
  <c r="BB46" i="18"/>
  <c r="BD46" i="18"/>
  <c r="C46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AH80" i="18"/>
  <c r="AI80" i="18"/>
  <c r="AJ80" i="18"/>
  <c r="AK80" i="18"/>
  <c r="AL80" i="18"/>
  <c r="AM80" i="18"/>
  <c r="AN80" i="18"/>
  <c r="AO80" i="18"/>
  <c r="AP80" i="18"/>
  <c r="AQ80" i="18"/>
  <c r="AR80" i="18"/>
  <c r="AS80" i="18"/>
  <c r="AT80" i="18"/>
  <c r="AU80" i="18"/>
  <c r="AV80" i="18"/>
  <c r="AW80" i="18"/>
  <c r="AX80" i="18"/>
  <c r="AY80" i="18"/>
  <c r="AZ80" i="18"/>
  <c r="BA80" i="18"/>
  <c r="BB80" i="18"/>
  <c r="BC80" i="18"/>
  <c r="BD80" i="18"/>
  <c r="C80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AH75" i="18"/>
  <c r="AI75" i="18"/>
  <c r="AJ75" i="18"/>
  <c r="AK75" i="18"/>
  <c r="AL75" i="18"/>
  <c r="AM75" i="18"/>
  <c r="AN75" i="18"/>
  <c r="AO75" i="18"/>
  <c r="AP75" i="18"/>
  <c r="AQ75" i="18"/>
  <c r="AR75" i="18"/>
  <c r="AS75" i="18"/>
  <c r="AT75" i="18"/>
  <c r="AU75" i="18"/>
  <c r="AV75" i="18"/>
  <c r="AW75" i="18"/>
  <c r="AX75" i="18"/>
  <c r="AY75" i="18"/>
  <c r="AZ75" i="18"/>
  <c r="BA75" i="18"/>
  <c r="BB75" i="18"/>
  <c r="BC75" i="18"/>
  <c r="BD75" i="18"/>
  <c r="C75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AM70" i="18"/>
  <c r="AN70" i="18"/>
  <c r="AO70" i="18"/>
  <c r="AP70" i="18"/>
  <c r="AQ70" i="18"/>
  <c r="AR70" i="18"/>
  <c r="AS70" i="18"/>
  <c r="AT70" i="18"/>
  <c r="AU70" i="18"/>
  <c r="AV70" i="18"/>
  <c r="AW70" i="18"/>
  <c r="AX70" i="18"/>
  <c r="AY70" i="18"/>
  <c r="AZ70" i="18"/>
  <c r="BA70" i="18"/>
  <c r="BB70" i="18"/>
  <c r="BC70" i="18"/>
  <c r="BD70" i="18"/>
  <c r="C70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C65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AM49" i="18"/>
  <c r="AN49" i="18"/>
  <c r="AO49" i="18"/>
  <c r="AP49" i="18"/>
  <c r="AQ49" i="18"/>
  <c r="AR49" i="18"/>
  <c r="AS49" i="18"/>
  <c r="AT49" i="18"/>
  <c r="AU49" i="18"/>
  <c r="AV49" i="18"/>
  <c r="AW49" i="18"/>
  <c r="AX49" i="18"/>
  <c r="AY49" i="18"/>
  <c r="AZ49" i="18"/>
  <c r="BA49" i="18"/>
  <c r="BB49" i="18"/>
  <c r="BC49" i="18"/>
  <c r="BD49" i="18"/>
  <c r="C49" i="18"/>
  <c r="D78" i="18"/>
  <c r="E78" i="18"/>
  <c r="F78" i="18"/>
  <c r="H78" i="18"/>
  <c r="I78" i="18"/>
  <c r="J78" i="18"/>
  <c r="K78" i="18"/>
  <c r="L78" i="18"/>
  <c r="M78" i="18"/>
  <c r="N78" i="18"/>
  <c r="O78" i="18"/>
  <c r="Q78" i="18"/>
  <c r="R78" i="18"/>
  <c r="S78" i="18"/>
  <c r="T78" i="18"/>
  <c r="U78" i="18"/>
  <c r="X78" i="18"/>
  <c r="Y78" i="18"/>
  <c r="Z78" i="18"/>
  <c r="AD78" i="18"/>
  <c r="AG78" i="18"/>
  <c r="AH78" i="18"/>
  <c r="AI78" i="18"/>
  <c r="AJ78" i="18"/>
  <c r="AK78" i="18"/>
  <c r="AM78" i="18"/>
  <c r="AU78" i="18"/>
  <c r="AV78" i="18"/>
  <c r="AW78" i="18"/>
  <c r="AZ78" i="18"/>
  <c r="BA78" i="18"/>
  <c r="C78" i="18"/>
  <c r="D77" i="18"/>
  <c r="E77" i="18"/>
  <c r="F77" i="18"/>
  <c r="H77" i="18"/>
  <c r="I77" i="18"/>
  <c r="J77" i="18"/>
  <c r="K77" i="18"/>
  <c r="L77" i="18"/>
  <c r="M77" i="18"/>
  <c r="N77" i="18"/>
  <c r="O77" i="18"/>
  <c r="Q77" i="18"/>
  <c r="R77" i="18"/>
  <c r="S77" i="18"/>
  <c r="T77" i="18"/>
  <c r="U77" i="18"/>
  <c r="X77" i="18"/>
  <c r="Y77" i="18"/>
  <c r="Z77" i="18"/>
  <c r="AD77" i="18"/>
  <c r="AG77" i="18"/>
  <c r="AH77" i="18"/>
  <c r="AI77" i="18"/>
  <c r="AJ77" i="18"/>
  <c r="AK77" i="18"/>
  <c r="AM77" i="18"/>
  <c r="AU77" i="18"/>
  <c r="AV77" i="18"/>
  <c r="AW77" i="18"/>
  <c r="AZ77" i="18"/>
  <c r="BA77" i="18"/>
  <c r="C77" i="18"/>
  <c r="F74" i="18" l="1"/>
  <c r="G74" i="18"/>
  <c r="H74" i="18"/>
  <c r="I74" i="18"/>
  <c r="J74" i="18"/>
  <c r="K74" i="18"/>
  <c r="L74" i="18"/>
  <c r="M74" i="18"/>
  <c r="N74" i="18"/>
  <c r="O74" i="18"/>
  <c r="Q74" i="18"/>
  <c r="R74" i="18"/>
  <c r="S74" i="18"/>
  <c r="T74" i="18"/>
  <c r="U74" i="18"/>
  <c r="E69" i="18"/>
  <c r="F69" i="18"/>
  <c r="H69" i="18"/>
  <c r="I69" i="18"/>
  <c r="J69" i="18"/>
  <c r="K69" i="18"/>
  <c r="L69" i="18"/>
  <c r="M69" i="18"/>
  <c r="N69" i="18"/>
  <c r="O69" i="18"/>
  <c r="Q69" i="18"/>
  <c r="R69" i="18"/>
  <c r="S69" i="18"/>
  <c r="T69" i="18"/>
  <c r="U69" i="18"/>
  <c r="Y69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R64" i="18"/>
  <c r="S64" i="18"/>
  <c r="T64" i="18"/>
  <c r="U64" i="18"/>
  <c r="X64" i="18"/>
  <c r="Y64" i="18"/>
  <c r="Z64" i="18"/>
  <c r="AE64" i="18"/>
  <c r="AF64" i="18"/>
  <c r="AG64" i="18"/>
  <c r="AH64" i="18"/>
  <c r="D69" i="18"/>
  <c r="BD57" i="18"/>
  <c r="BD59" i="18"/>
  <c r="BD56" i="18"/>
  <c r="BC56" i="18"/>
  <c r="BC59" i="18"/>
  <c r="BC57" i="18"/>
  <c r="BB57" i="18"/>
  <c r="BB59" i="18"/>
  <c r="BB56" i="18"/>
  <c r="BA59" i="18"/>
  <c r="BA57" i="18"/>
  <c r="BA56" i="18"/>
  <c r="AZ59" i="18"/>
  <c r="AZ56" i="18"/>
  <c r="AZ57" i="18"/>
  <c r="AY59" i="18"/>
  <c r="AY56" i="18"/>
  <c r="AY57" i="18"/>
  <c r="AX59" i="18"/>
  <c r="AX56" i="18"/>
  <c r="AX57" i="18"/>
  <c r="AW56" i="18"/>
  <c r="AW57" i="18"/>
  <c r="AW59" i="18"/>
  <c r="AV57" i="18"/>
  <c r="AV59" i="18"/>
  <c r="AV56" i="18"/>
  <c r="AU59" i="18"/>
  <c r="AU57" i="18"/>
  <c r="AU56" i="18"/>
  <c r="AT59" i="18"/>
  <c r="AT56" i="18"/>
  <c r="AT57" i="18"/>
  <c r="AS56" i="18"/>
  <c r="AS57" i="18"/>
  <c r="AS59" i="18"/>
  <c r="AR59" i="18"/>
  <c r="AR56" i="18"/>
  <c r="AR57" i="18"/>
  <c r="AQ59" i="18"/>
  <c r="AQ57" i="18"/>
  <c r="AQ58" i="18" s="1"/>
  <c r="AQ56" i="18"/>
  <c r="AP57" i="18"/>
  <c r="AP59" i="18"/>
  <c r="AP56" i="18"/>
  <c r="AO59" i="18"/>
  <c r="AO56" i="18"/>
  <c r="AO57" i="18"/>
  <c r="AN59" i="18"/>
  <c r="AN56" i="18"/>
  <c r="AN57" i="18"/>
  <c r="AM59" i="18"/>
  <c r="AM56" i="18"/>
  <c r="AM57" i="18"/>
  <c r="AM58" i="18" s="1"/>
  <c r="AL57" i="18"/>
  <c r="AL58" i="18" s="1"/>
  <c r="AL56" i="18"/>
  <c r="AL59" i="18"/>
  <c r="AK57" i="18"/>
  <c r="AK59" i="18"/>
  <c r="AK56" i="18"/>
  <c r="AJ56" i="18"/>
  <c r="AJ57" i="18"/>
  <c r="AJ59" i="18"/>
  <c r="AI57" i="18"/>
  <c r="AI59" i="18"/>
  <c r="AI56" i="18"/>
  <c r="AH56" i="18"/>
  <c r="AH59" i="18"/>
  <c r="AH57" i="18"/>
  <c r="AG57" i="18"/>
  <c r="AG56" i="18"/>
  <c r="AG59" i="18"/>
  <c r="AF56" i="18"/>
  <c r="AF59" i="18"/>
  <c r="AF57" i="18"/>
  <c r="AE59" i="18"/>
  <c r="AE56" i="18"/>
  <c r="AE57" i="18"/>
  <c r="AD56" i="18"/>
  <c r="AD59" i="18"/>
  <c r="AD57" i="18"/>
  <c r="AD58" i="18" s="1"/>
  <c r="Y57" i="18"/>
  <c r="Y59" i="18"/>
  <c r="Y56" i="18"/>
  <c r="X59" i="18"/>
  <c r="X57" i="18"/>
  <c r="X56" i="18"/>
  <c r="W59" i="18"/>
  <c r="V59" i="18"/>
  <c r="V56" i="18"/>
  <c r="V57" i="18"/>
  <c r="V58" i="18" s="1"/>
  <c r="U57" i="18"/>
  <c r="U56" i="18"/>
  <c r="U59" i="18"/>
  <c r="T57" i="18"/>
  <c r="T58" i="18" s="1"/>
  <c r="T56" i="18"/>
  <c r="T59" i="18"/>
  <c r="S57" i="18"/>
  <c r="S58" i="18" s="1"/>
  <c r="S59" i="18"/>
  <c r="S56" i="18"/>
  <c r="R56" i="18"/>
  <c r="R57" i="18"/>
  <c r="R58" i="18" s="1"/>
  <c r="R59" i="18"/>
  <c r="Q59" i="18"/>
  <c r="Q57" i="18"/>
  <c r="Q58" i="18" s="1"/>
  <c r="Q56" i="18"/>
  <c r="P56" i="18"/>
  <c r="P59" i="18"/>
  <c r="P57" i="18"/>
  <c r="P58" i="18" s="1"/>
  <c r="O59" i="18"/>
  <c r="O57" i="18"/>
  <c r="O58" i="18" s="1"/>
  <c r="O56" i="18"/>
  <c r="N57" i="18"/>
  <c r="N58" i="18" s="1"/>
  <c r="N59" i="18"/>
  <c r="N56" i="18"/>
  <c r="M57" i="18"/>
  <c r="M56" i="18"/>
  <c r="M59" i="18"/>
  <c r="L57" i="18"/>
  <c r="L58" i="18" s="1"/>
  <c r="L56" i="18"/>
  <c r="L59" i="18"/>
  <c r="K59" i="18"/>
  <c r="K57" i="18"/>
  <c r="K56" i="18"/>
  <c r="J57" i="18"/>
  <c r="J58" i="18" s="1"/>
  <c r="J56" i="18"/>
  <c r="J59" i="18"/>
  <c r="I59" i="18"/>
  <c r="I57" i="18"/>
  <c r="I56" i="18"/>
  <c r="H57" i="18"/>
  <c r="H58" i="18" s="1"/>
  <c r="H56" i="18"/>
  <c r="H59" i="18"/>
  <c r="G56" i="18"/>
  <c r="G57" i="18"/>
  <c r="G58" i="18" s="1"/>
  <c r="G59" i="18"/>
  <c r="F56" i="18"/>
  <c r="F57" i="18"/>
  <c r="F58" i="18" s="1"/>
  <c r="F59" i="18"/>
  <c r="E56" i="18"/>
  <c r="E57" i="18"/>
  <c r="E58" i="18" s="1"/>
  <c r="E59" i="18"/>
  <c r="D57" i="18"/>
  <c r="D58" i="18" s="1"/>
  <c r="D59" i="18"/>
  <c r="D56" i="18"/>
  <c r="C59" i="18"/>
  <c r="C57" i="18"/>
  <c r="C58" i="18" s="1"/>
  <c r="C56" i="18"/>
  <c r="BD39" i="18"/>
  <c r="BD41" i="18"/>
  <c r="BD42" i="18" s="1"/>
  <c r="BD40" i="18"/>
  <c r="BD52" i="18"/>
  <c r="BD51" i="18"/>
  <c r="BD54" i="18"/>
  <c r="BC40" i="18"/>
  <c r="BC52" i="18"/>
  <c r="BC41" i="18"/>
  <c r="BC54" i="18"/>
  <c r="BC43" i="18"/>
  <c r="BC51" i="18"/>
  <c r="BC39" i="18"/>
  <c r="BB52" i="18"/>
  <c r="BB54" i="18"/>
  <c r="BB39" i="18"/>
  <c r="BB51" i="18"/>
  <c r="BB41" i="18"/>
  <c r="BB42" i="18" s="1"/>
  <c r="BB43" i="18"/>
  <c r="BB40" i="18"/>
  <c r="BA54" i="18"/>
  <c r="BA51" i="18"/>
  <c r="BA39" i="18"/>
  <c r="BA52" i="18"/>
  <c r="BA53" i="18" s="1"/>
  <c r="BA43" i="18"/>
  <c r="BA40" i="18"/>
  <c r="BA41" i="18"/>
  <c r="AZ52" i="18"/>
  <c r="AZ43" i="18"/>
  <c r="AZ40" i="18"/>
  <c r="AZ41" i="18"/>
  <c r="AZ39" i="18"/>
  <c r="AZ51" i="18"/>
  <c r="AZ54" i="18"/>
  <c r="AY54" i="18"/>
  <c r="AY41" i="18"/>
  <c r="AY39" i="18"/>
  <c r="AY40" i="18"/>
  <c r="AY43" i="18"/>
  <c r="AX39" i="18"/>
  <c r="AX54" i="18"/>
  <c r="AX41" i="18"/>
  <c r="AX42" i="18" s="1"/>
  <c r="AX40" i="18"/>
  <c r="AX43" i="18"/>
  <c r="AW43" i="18"/>
  <c r="AW54" i="18"/>
  <c r="AW41" i="18"/>
  <c r="AW39" i="18"/>
  <c r="AW51" i="18"/>
  <c r="AW52" i="18"/>
  <c r="AW40" i="18"/>
  <c r="AV43" i="18"/>
  <c r="AV51" i="18"/>
  <c r="AV41" i="18"/>
  <c r="AV39" i="18"/>
  <c r="AV52" i="18"/>
  <c r="AV53" i="18" s="1"/>
  <c r="AV54" i="18"/>
  <c r="AV40" i="18"/>
  <c r="AU43" i="18"/>
  <c r="AU41" i="18"/>
  <c r="AU54" i="18"/>
  <c r="AU39" i="18"/>
  <c r="AU40" i="18"/>
  <c r="AT41" i="18"/>
  <c r="AT39" i="18"/>
  <c r="AT52" i="18"/>
  <c r="AT43" i="18"/>
  <c r="AT40" i="18"/>
  <c r="AT51" i="18"/>
  <c r="AT54" i="18"/>
  <c r="AS54" i="18"/>
  <c r="AS43" i="18"/>
  <c r="AS40" i="18"/>
  <c r="AS39" i="18"/>
  <c r="AS41" i="18"/>
  <c r="AS42" i="18" s="1"/>
  <c r="AR54" i="18"/>
  <c r="AR41" i="18"/>
  <c r="AR39" i="18"/>
  <c r="AR40" i="18"/>
  <c r="AR43" i="18"/>
  <c r="AQ43" i="18"/>
  <c r="AQ39" i="18"/>
  <c r="AQ54" i="18"/>
  <c r="AQ40" i="18"/>
  <c r="AQ41" i="18"/>
  <c r="AP40" i="18"/>
  <c r="AP43" i="18"/>
  <c r="AP54" i="18"/>
  <c r="AP41" i="18"/>
  <c r="AP51" i="18"/>
  <c r="AP52" i="18"/>
  <c r="AP53" i="18" s="1"/>
  <c r="AP39" i="18"/>
  <c r="AO43" i="18"/>
  <c r="AO40" i="18"/>
  <c r="AO54" i="18"/>
  <c r="AO39" i="18"/>
  <c r="AO51" i="18"/>
  <c r="AO41" i="18"/>
  <c r="AO52" i="18"/>
  <c r="AN41" i="18"/>
  <c r="AN51" i="18"/>
  <c r="AN43" i="18"/>
  <c r="AN52" i="18"/>
  <c r="AN53" i="18" s="1"/>
  <c r="AN40" i="18"/>
  <c r="AN54" i="18"/>
  <c r="AN39" i="18"/>
  <c r="AM40" i="18"/>
  <c r="AM43" i="18"/>
  <c r="AM41" i="18"/>
  <c r="AM39" i="18"/>
  <c r="AM52" i="18"/>
  <c r="AM51" i="18"/>
  <c r="AM54" i="18"/>
  <c r="AL43" i="18"/>
  <c r="AL51" i="18"/>
  <c r="AL40" i="18"/>
  <c r="AL41" i="18"/>
  <c r="AL42" i="18" s="1"/>
  <c r="AL52" i="18"/>
  <c r="AL53" i="18" s="1"/>
  <c r="AL39" i="18"/>
  <c r="AL54" i="18"/>
  <c r="AK43" i="18"/>
  <c r="AK54" i="18"/>
  <c r="AK51" i="18"/>
  <c r="AK39" i="18"/>
  <c r="AK52" i="18"/>
  <c r="AK53" i="18" s="1"/>
  <c r="AK41" i="18"/>
  <c r="AK42" i="18" s="1"/>
  <c r="AK40" i="18"/>
  <c r="AJ52" i="18"/>
  <c r="AJ54" i="18"/>
  <c r="AJ39" i="18"/>
  <c r="AJ51" i="18"/>
  <c r="AJ43" i="18"/>
  <c r="AJ40" i="18"/>
  <c r="AJ41" i="18"/>
  <c r="AI40" i="18"/>
  <c r="AI43" i="18"/>
  <c r="AI54" i="18"/>
  <c r="AI39" i="18"/>
  <c r="AI51" i="18"/>
  <c r="AI52" i="18"/>
  <c r="AI53" i="18" s="1"/>
  <c r="AI41" i="18"/>
  <c r="AH52" i="18"/>
  <c r="AH41" i="18"/>
  <c r="AH43" i="18"/>
  <c r="AH39" i="18"/>
  <c r="AH54" i="18"/>
  <c r="AH40" i="18"/>
  <c r="AH51" i="18"/>
  <c r="AG51" i="18"/>
  <c r="AG40" i="18"/>
  <c r="AG52" i="18"/>
  <c r="AG53" i="18" s="1"/>
  <c r="AG54" i="18"/>
  <c r="AG39" i="18"/>
  <c r="AG43" i="18"/>
  <c r="AG41" i="18"/>
  <c r="AG42" i="18" s="1"/>
  <c r="AF39" i="18"/>
  <c r="AF52" i="18"/>
  <c r="AF51" i="18"/>
  <c r="AF43" i="18"/>
  <c r="AF41" i="18"/>
  <c r="AF42" i="18" s="1"/>
  <c r="AF54" i="18"/>
  <c r="AF40" i="18"/>
  <c r="AE51" i="18"/>
  <c r="AE40" i="18"/>
  <c r="AE54" i="18"/>
  <c r="AE43" i="18"/>
  <c r="AE52" i="18"/>
  <c r="AE53" i="18" s="1"/>
  <c r="AE39" i="18"/>
  <c r="AE41" i="18"/>
  <c r="AE42" i="18" s="1"/>
  <c r="AD54" i="18"/>
  <c r="AD39" i="18"/>
  <c r="AD43" i="18"/>
  <c r="AD40" i="18"/>
  <c r="AD41" i="18"/>
  <c r="AD42" i="18" s="1"/>
  <c r="AC43" i="18"/>
  <c r="AC40" i="18"/>
  <c r="AC39" i="18"/>
  <c r="AC41" i="18"/>
  <c r="AC54" i="18"/>
  <c r="AB54" i="18"/>
  <c r="AB51" i="18"/>
  <c r="AB43" i="18"/>
  <c r="AB39" i="18"/>
  <c r="AB40" i="18"/>
  <c r="AB41" i="18"/>
  <c r="AB52" i="18"/>
  <c r="AA40" i="18"/>
  <c r="AA41" i="18"/>
  <c r="AA51" i="18"/>
  <c r="AA54" i="18"/>
  <c r="AA52" i="18"/>
  <c r="AA53" i="18" s="1"/>
  <c r="AA39" i="18"/>
  <c r="AA43" i="18"/>
  <c r="Z40" i="18"/>
  <c r="Z39" i="18"/>
  <c r="Z43" i="18"/>
  <c r="Z54" i="18"/>
  <c r="Z52" i="18"/>
  <c r="Z51" i="18"/>
  <c r="Z41" i="18"/>
  <c r="Z42" i="18" s="1"/>
  <c r="Y54" i="18"/>
  <c r="Y40" i="18"/>
  <c r="Y41" i="18"/>
  <c r="Y43" i="18"/>
  <c r="Y51" i="18"/>
  <c r="Y52" i="18"/>
  <c r="Y53" i="18" s="1"/>
  <c r="Y39" i="18"/>
  <c r="X54" i="18"/>
  <c r="X40" i="18"/>
  <c r="X39" i="18"/>
  <c r="X52" i="18"/>
  <c r="X51" i="18"/>
  <c r="X43" i="18"/>
  <c r="X41" i="18"/>
  <c r="X42" i="18" s="1"/>
  <c r="W54" i="18"/>
  <c r="W43" i="18"/>
  <c r="V40" i="18"/>
  <c r="V39" i="18"/>
  <c r="V43" i="18"/>
  <c r="V41" i="18"/>
  <c r="V54" i="18"/>
  <c r="U41" i="18"/>
  <c r="U51" i="18"/>
  <c r="U40" i="18"/>
  <c r="U43" i="18"/>
  <c r="U39" i="18"/>
  <c r="U54" i="18"/>
  <c r="U52" i="18"/>
  <c r="T41" i="18"/>
  <c r="T40" i="18"/>
  <c r="T43" i="18"/>
  <c r="T39" i="18"/>
  <c r="T54" i="18"/>
  <c r="T51" i="18"/>
  <c r="T52" i="18"/>
  <c r="T53" i="18" s="1"/>
  <c r="S51" i="18"/>
  <c r="S41" i="18"/>
  <c r="S54" i="18"/>
  <c r="S52" i="18"/>
  <c r="S43" i="18"/>
  <c r="S39" i="18"/>
  <c r="S40" i="18"/>
  <c r="R43" i="18"/>
  <c r="R52" i="18"/>
  <c r="R51" i="18"/>
  <c r="R39" i="18"/>
  <c r="R41" i="18"/>
  <c r="R42" i="18" s="1"/>
  <c r="R40" i="18"/>
  <c r="R54" i="18"/>
  <c r="Q43" i="18"/>
  <c r="Q39" i="18"/>
  <c r="Q52" i="18"/>
  <c r="Q54" i="18"/>
  <c r="Q40" i="18"/>
  <c r="Q41" i="18"/>
  <c r="Q42" i="18" s="1"/>
  <c r="Q51" i="18"/>
  <c r="P51" i="18"/>
  <c r="P39" i="18"/>
  <c r="P52" i="18"/>
  <c r="P53" i="18" s="1"/>
  <c r="P54" i="18"/>
  <c r="P41" i="18"/>
  <c r="P42" i="18" s="1"/>
  <c r="P40" i="18"/>
  <c r="P43" i="18"/>
  <c r="O39" i="18"/>
  <c r="O43" i="18"/>
  <c r="O52" i="18"/>
  <c r="O54" i="18"/>
  <c r="O40" i="18"/>
  <c r="O41" i="18"/>
  <c r="O51" i="18"/>
  <c r="N39" i="18"/>
  <c r="N40" i="18"/>
  <c r="N43" i="18"/>
  <c r="N51" i="18"/>
  <c r="N52" i="18"/>
  <c r="N53" i="18" s="1"/>
  <c r="N41" i="18"/>
  <c r="N42" i="18" s="1"/>
  <c r="N54" i="18"/>
  <c r="M40" i="18"/>
  <c r="M54" i="18"/>
  <c r="M41" i="18"/>
  <c r="M43" i="18"/>
  <c r="M52" i="18"/>
  <c r="M51" i="18"/>
  <c r="M39" i="18"/>
  <c r="L41" i="18"/>
  <c r="L40" i="18"/>
  <c r="L43" i="18"/>
  <c r="L51" i="18"/>
  <c r="L39" i="18"/>
  <c r="L54" i="18"/>
  <c r="L52" i="18"/>
  <c r="L53" i="18" s="1"/>
  <c r="K52" i="18"/>
  <c r="K43" i="18"/>
  <c r="K41" i="18"/>
  <c r="K39" i="18"/>
  <c r="K54" i="18"/>
  <c r="K51" i="18"/>
  <c r="K40" i="18"/>
  <c r="J40" i="18"/>
  <c r="J43" i="18"/>
  <c r="J54" i="18"/>
  <c r="J52" i="18"/>
  <c r="J41" i="18"/>
  <c r="J39" i="18"/>
  <c r="J51" i="18"/>
  <c r="I51" i="18"/>
  <c r="I52" i="18"/>
  <c r="I53" i="18" s="1"/>
  <c r="I54" i="18"/>
  <c r="I41" i="18"/>
  <c r="I40" i="18"/>
  <c r="I39" i="18"/>
  <c r="I43" i="18"/>
  <c r="H54" i="18"/>
  <c r="H43" i="18"/>
  <c r="H39" i="18"/>
  <c r="H52" i="18"/>
  <c r="H40" i="18"/>
  <c r="H51" i="18"/>
  <c r="H41" i="18"/>
  <c r="H42" i="18" s="1"/>
  <c r="G39" i="18"/>
  <c r="G43" i="18"/>
  <c r="G40" i="18"/>
  <c r="G41" i="18"/>
  <c r="G54" i="18"/>
  <c r="F51" i="18"/>
  <c r="F40" i="18"/>
  <c r="F39" i="18"/>
  <c r="F52" i="18"/>
  <c r="F53" i="18" s="1"/>
  <c r="F41" i="18"/>
  <c r="F54" i="18"/>
  <c r="F43" i="18"/>
  <c r="E52" i="18"/>
  <c r="E43" i="18"/>
  <c r="E40" i="18"/>
  <c r="E54" i="18"/>
  <c r="E51" i="18"/>
  <c r="E39" i="18"/>
  <c r="E41" i="18"/>
  <c r="D39" i="18"/>
  <c r="D52" i="18"/>
  <c r="D53" i="18" s="1"/>
  <c r="D51" i="18"/>
  <c r="D54" i="18"/>
  <c r="D40" i="18"/>
  <c r="D43" i="18"/>
  <c r="D41" i="18"/>
  <c r="C54" i="18"/>
  <c r="C41" i="18"/>
  <c r="C51" i="18"/>
  <c r="C40" i="18"/>
  <c r="C39" i="18"/>
  <c r="C43" i="18"/>
  <c r="C52" i="18"/>
  <c r="C53" i="18" s="1"/>
  <c r="C74" i="18"/>
  <c r="C69" i="18"/>
  <c r="C64" i="18"/>
  <c r="M58" i="18"/>
  <c r="AE58" i="18"/>
  <c r="AO58" i="18"/>
  <c r="BA58" i="18"/>
  <c r="D79" i="18"/>
  <c r="K79" i="18"/>
  <c r="AG79" i="18"/>
  <c r="AM79" i="18"/>
  <c r="AW58" i="18"/>
  <c r="I79" i="18"/>
  <c r="L79" i="18"/>
  <c r="Q79" i="18"/>
  <c r="S79" i="18"/>
  <c r="X79" i="18"/>
  <c r="AJ79" i="18"/>
  <c r="AK79" i="18"/>
  <c r="AU79" i="18"/>
  <c r="AZ79" i="18"/>
  <c r="AY58" i="18"/>
  <c r="E79" i="18"/>
  <c r="H79" i="18"/>
  <c r="M79" i="18"/>
  <c r="R79" i="18"/>
  <c r="AH79" i="18"/>
  <c r="AX58" i="18"/>
  <c r="AR58" i="18"/>
  <c r="BB58" i="18"/>
  <c r="F79" i="18"/>
  <c r="N79" i="18"/>
  <c r="T79" i="18"/>
  <c r="Z79" i="18"/>
  <c r="AI79" i="18"/>
  <c r="BA79" i="18"/>
  <c r="AF58" i="18"/>
  <c r="AV58" i="18"/>
  <c r="O79" i="18"/>
  <c r="AU58" i="18"/>
  <c r="U79" i="18"/>
  <c r="AV79" i="18"/>
  <c r="X58" i="18"/>
  <c r="AP58" i="18"/>
  <c r="AZ58" i="18"/>
  <c r="Y79" i="18"/>
  <c r="C79" i="18"/>
  <c r="AK58" i="18"/>
  <c r="AS58" i="18"/>
  <c r="BD58" i="18"/>
  <c r="U58" i="18"/>
  <c r="AJ58" i="18"/>
  <c r="AT58" i="18"/>
  <c r="BC58" i="18"/>
  <c r="Y58" i="18" l="1"/>
  <c r="F42" i="18"/>
  <c r="K58" i="18"/>
  <c r="AO53" i="18"/>
  <c r="AN58" i="18"/>
  <c r="AO42" i="18"/>
  <c r="AU42" i="18"/>
  <c r="AJ42" i="18"/>
  <c r="O42" i="18"/>
  <c r="AH58" i="18"/>
  <c r="AG58" i="18"/>
  <c r="I58" i="18"/>
  <c r="V42" i="18"/>
  <c r="AI58" i="18"/>
  <c r="AQ42" i="18"/>
  <c r="AI42" i="18"/>
  <c r="I42" i="18"/>
  <c r="G42" i="18"/>
  <c r="BA42" i="18"/>
  <c r="AR42" i="18"/>
  <c r="AC42" i="18"/>
  <c r="AT42" i="18"/>
  <c r="AV42" i="18"/>
  <c r="AM42" i="18"/>
  <c r="AM53" i="18"/>
  <c r="AF53" i="18"/>
  <c r="S53" i="18"/>
  <c r="O53" i="18"/>
  <c r="D42" i="18"/>
  <c r="C42" i="18"/>
  <c r="BD53" i="18"/>
  <c r="BB53" i="18"/>
  <c r="AJ53" i="18"/>
  <c r="BC53" i="18"/>
  <c r="AZ42" i="18"/>
  <c r="AY42" i="18"/>
  <c r="Q53" i="18"/>
  <c r="E42" i="18"/>
  <c r="AW42" i="18"/>
  <c r="AP42" i="18"/>
  <c r="AN42" i="18"/>
  <c r="AH53" i="18"/>
  <c r="AH42" i="18"/>
  <c r="AB42" i="18"/>
  <c r="AB53" i="18"/>
  <c r="AA42" i="18"/>
  <c r="Z53" i="18"/>
  <c r="Y42" i="18"/>
  <c r="X53" i="18"/>
  <c r="U42" i="18"/>
  <c r="U53" i="18"/>
  <c r="T42" i="18"/>
  <c r="S42" i="18"/>
  <c r="R53" i="18"/>
  <c r="M42" i="18"/>
  <c r="M53" i="18"/>
  <c r="L42" i="18"/>
  <c r="K53" i="18"/>
  <c r="K42" i="18"/>
  <c r="J53" i="18"/>
  <c r="J42" i="18"/>
  <c r="H53" i="18"/>
  <c r="E53" i="18"/>
  <c r="AZ53" i="18"/>
  <c r="BC4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E6C89C72-847F-4A19-88D9-5036FDA2413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copy the values from column B in "Samples" tab</t>
        </r>
      </text>
    </comment>
  </commentList>
</comments>
</file>

<file path=xl/sharedStrings.xml><?xml version="1.0" encoding="utf-8"?>
<sst xmlns="http://schemas.openxmlformats.org/spreadsheetml/2006/main" count="6267" uniqueCount="528">
  <si>
    <t>23Na (KED)</t>
  </si>
  <si>
    <t>24Mg (KED)</t>
  </si>
  <si>
    <t>27Al (KED)</t>
  </si>
  <si>
    <t>31P (KED)</t>
  </si>
  <si>
    <t>39K (KED)</t>
  </si>
  <si>
    <t>42Ca (KED)</t>
  </si>
  <si>
    <t>44Ca (KED)</t>
  </si>
  <si>
    <t>49Ti (KED)</t>
  </si>
  <si>
    <t>51V (KED)</t>
  </si>
  <si>
    <t>52Cr (KED)</t>
  </si>
  <si>
    <t>55Mn (KED)</t>
  </si>
  <si>
    <t>56Fe (KED)</t>
  </si>
  <si>
    <t>57Fe (KED)</t>
  </si>
  <si>
    <t>59Co (KED)</t>
  </si>
  <si>
    <t>60Ni (KED)</t>
  </si>
  <si>
    <t>63Cu (KED)</t>
  </si>
  <si>
    <t>65Cu (KED)</t>
  </si>
  <si>
    <t>66Zn (KED)</t>
  </si>
  <si>
    <t>68Zn (KED)</t>
  </si>
  <si>
    <t>75As (KED)</t>
  </si>
  <si>
    <t>77Se (KED)</t>
  </si>
  <si>
    <t>85Rb (KED)</t>
  </si>
  <si>
    <t>88Sr (KED)</t>
  </si>
  <si>
    <t>90Zr (KED)</t>
  </si>
  <si>
    <t>95Mo (KED)</t>
  </si>
  <si>
    <t>97Mo (KED)</t>
  </si>
  <si>
    <t>111Cd (KED)</t>
  </si>
  <si>
    <t>118Sn (KED)</t>
  </si>
  <si>
    <t>121Sb (KED)</t>
  </si>
  <si>
    <t>133Cs (KED)</t>
  </si>
  <si>
    <t>137Ba (KED)</t>
  </si>
  <si>
    <t>139La (KED)</t>
  </si>
  <si>
    <t>140Ce (KED)</t>
  </si>
  <si>
    <t>141Pr (KED)</t>
  </si>
  <si>
    <t>146Nd (KED)</t>
  </si>
  <si>
    <t>147Sm (KED)</t>
  </si>
  <si>
    <t>153Eu (KED)</t>
  </si>
  <si>
    <t>157Gd (KED)</t>
  </si>
  <si>
    <t>159Tb (KED)</t>
  </si>
  <si>
    <t>163Dy (KED)</t>
  </si>
  <si>
    <t>165Ho (KED)</t>
  </si>
  <si>
    <t>166Er (KED)</t>
  </si>
  <si>
    <t>169Tm (KED)</t>
  </si>
  <si>
    <t>172Yb (KED)</t>
  </si>
  <si>
    <t>175Lu (KED)</t>
  </si>
  <si>
    <t>178Hf (KED)</t>
  </si>
  <si>
    <t>182W (KED)</t>
  </si>
  <si>
    <t>185Re (KED)</t>
  </si>
  <si>
    <t>205Tl (KED)</t>
  </si>
  <si>
    <t>206Pb (KED)</t>
  </si>
  <si>
    <t>207Pb (KED)</t>
  </si>
  <si>
    <t>208Pb (KED)</t>
  </si>
  <si>
    <t>232Th (KED)</t>
  </si>
  <si>
    <t>238U (KED)</t>
  </si>
  <si>
    <t>LOD</t>
  </si>
  <si>
    <t>Esplanada Enamel Batch 2</t>
  </si>
  <si>
    <t>LOQ</t>
  </si>
  <si>
    <t>Esplanada Bone Batch 1</t>
  </si>
  <si>
    <t>NIST 1400 CCV</t>
  </si>
  <si>
    <t>Esplanada Enamel Batch 1</t>
  </si>
  <si>
    <t>Esplanada Redos</t>
  </si>
  <si>
    <t>Esplanada Bone Batch 2</t>
  </si>
  <si>
    <t>Dissertation Batch 1</t>
  </si>
  <si>
    <t>Esplanada Bone Batch 3</t>
  </si>
  <si>
    <t>Esplanada Enamel Batch 3</t>
  </si>
  <si>
    <t>Y (ppb)</t>
  </si>
  <si>
    <t>Mean</t>
  </si>
  <si>
    <t>SD (ppb)</t>
  </si>
  <si>
    <t>SD (%)</t>
  </si>
  <si>
    <t>ACL-11260</t>
  </si>
  <si>
    <t>ACL-11261</t>
  </si>
  <si>
    <t>ACL-11264</t>
  </si>
  <si>
    <t>ACL-11265</t>
  </si>
  <si>
    <t>ACL-12040</t>
  </si>
  <si>
    <t>ACL-11271</t>
  </si>
  <si>
    <t>ACL-11278</t>
  </si>
  <si>
    <t>ACL-11279</t>
  </si>
  <si>
    <t>ACL-11281</t>
  </si>
  <si>
    <t>ACL-11284</t>
  </si>
  <si>
    <t>ACL-11285</t>
  </si>
  <si>
    <t>ACL-12041</t>
  </si>
  <si>
    <t>ACL-11288</t>
  </si>
  <si>
    <t>ACL-11289</t>
  </si>
  <si>
    <t>ACL-11291</t>
  </si>
  <si>
    <t>ACL-11293</t>
  </si>
  <si>
    <t>ACL-11299</t>
  </si>
  <si>
    <t>ACL-11865</t>
  </si>
  <si>
    <t>ACL-11308</t>
  </si>
  <si>
    <t>ACL-11310</t>
  </si>
  <si>
    <t>ACL-11711</t>
  </si>
  <si>
    <t>ACL-11317</t>
  </si>
  <si>
    <t>ACL-11319</t>
  </si>
  <si>
    <t>ACL-11321</t>
  </si>
  <si>
    <t>ACL-11325</t>
  </si>
  <si>
    <t>ACL-11326</t>
  </si>
  <si>
    <t>ACL-11728</t>
  </si>
  <si>
    <t>ACL-11331</t>
  </si>
  <si>
    <t>Run 1 - 8.19.2019</t>
  </si>
  <si>
    <t>Run 2 - 7.1.2021</t>
  </si>
  <si>
    <t>COMBINED</t>
  </si>
  <si>
    <t>median</t>
  </si>
  <si>
    <t>BY DATE</t>
  </si>
  <si>
    <t>n</t>
  </si>
  <si>
    <t>Run 3 - 8.1.2022</t>
  </si>
  <si>
    <t>Run 4 - 5.8.2023</t>
  </si>
  <si>
    <t>Run 5 - 5.23.2023</t>
  </si>
  <si>
    <t>Run 6 - 10.11.2023</t>
  </si>
  <si>
    <t>Run 9 - 2.18.2025</t>
  </si>
  <si>
    <t>Run 10 - 5.10.2025</t>
  </si>
  <si>
    <t>STANDARD ID</t>
  </si>
  <si>
    <t>DATE</t>
  </si>
  <si>
    <t>ACL Number</t>
  </si>
  <si>
    <t>Batch ID</t>
  </si>
  <si>
    <t>ACL-11555</t>
  </si>
  <si>
    <t>&lt;LOD</t>
  </si>
  <si>
    <t>ACL-11556</t>
  </si>
  <si>
    <t>ACL-11557</t>
  </si>
  <si>
    <t>ACL-11684</t>
  </si>
  <si>
    <t>ACL-11685</t>
  </si>
  <si>
    <t>ACL-11686</t>
  </si>
  <si>
    <t>ACL-11688</t>
  </si>
  <si>
    <t>ACL-11689</t>
  </si>
  <si>
    <t>ACL-11691</t>
  </si>
  <si>
    <t>ACL-11693</t>
  </si>
  <si>
    <t>ACL-11694</t>
  </si>
  <si>
    <t>ACL-11695</t>
  </si>
  <si>
    <t>ACL-11696</t>
  </si>
  <si>
    <t>ACL-11698</t>
  </si>
  <si>
    <t>ACL-11699</t>
  </si>
  <si>
    <t>ACL-11700</t>
  </si>
  <si>
    <t>ACL-11702</t>
  </si>
  <si>
    <t>ACL-11703</t>
  </si>
  <si>
    <t>ACL-11704</t>
  </si>
  <si>
    <t>ACL-11705</t>
  </si>
  <si>
    <t>ACL-11708</t>
  </si>
  <si>
    <t>ACL-11710</t>
  </si>
  <si>
    <t>ACL-11712</t>
  </si>
  <si>
    <t>ACL-11713</t>
  </si>
  <si>
    <t>ACL-11716</t>
  </si>
  <si>
    <t>ACL-11717</t>
  </si>
  <si>
    <t>ACL-11720</t>
  </si>
  <si>
    <t>ACL-11723</t>
  </si>
  <si>
    <t>ACL-11724</t>
  </si>
  <si>
    <t>ACL-11725</t>
  </si>
  <si>
    <t>ACL-11727</t>
  </si>
  <si>
    <t>ACL-11744</t>
  </si>
  <si>
    <t>ACL-11745</t>
  </si>
  <si>
    <t>ACL-11746</t>
  </si>
  <si>
    <t>ACL-11747</t>
  </si>
  <si>
    <t>ACL-11751</t>
  </si>
  <si>
    <t>ACL-11756</t>
  </si>
  <si>
    <t>ACL-11758</t>
  </si>
  <si>
    <t>ACL-11761</t>
  </si>
  <si>
    <t>ACL-11765</t>
  </si>
  <si>
    <t>ACL-11767</t>
  </si>
  <si>
    <t>ACL-11770</t>
  </si>
  <si>
    <t>ACL-11773</t>
  </si>
  <si>
    <t>ACL-11777</t>
  </si>
  <si>
    <t>ACL-11780</t>
  </si>
  <si>
    <t>ACL-11782</t>
  </si>
  <si>
    <t>ACL-11784</t>
  </si>
  <si>
    <t>ACL-11788</t>
  </si>
  <si>
    <t>ACL-11793</t>
  </si>
  <si>
    <t>ACL-11797</t>
  </si>
  <si>
    <t>ACL-11726</t>
  </si>
  <si>
    <t>ACL-11730</t>
  </si>
  <si>
    <t>ACL-11733</t>
  </si>
  <si>
    <t>ACL-11734</t>
  </si>
  <si>
    <t>ACL-11737</t>
  </si>
  <si>
    <t>ACL-11740</t>
  </si>
  <si>
    <t>ACL-11742</t>
  </si>
  <si>
    <t>ACL-11750</t>
  </si>
  <si>
    <t>ACL-11752</t>
  </si>
  <si>
    <t>ACL-11753</t>
  </si>
  <si>
    <t>ACL-11754</t>
  </si>
  <si>
    <t>ACL-11755</t>
  </si>
  <si>
    <t>ACL-11760</t>
  </si>
  <si>
    <t>ACL-11762</t>
  </si>
  <si>
    <t>ACL-11764</t>
  </si>
  <si>
    <t>ACL-11766</t>
  </si>
  <si>
    <t>ACL-11768</t>
  </si>
  <si>
    <t>ACL-11769</t>
  </si>
  <si>
    <t>ACL-11771</t>
  </si>
  <si>
    <t>ACL-11772</t>
  </si>
  <si>
    <t>ACL-11778</t>
  </si>
  <si>
    <t>ACL-11779</t>
  </si>
  <si>
    <t>ACL-11783</t>
  </si>
  <si>
    <t>ACL-11787</t>
  </si>
  <si>
    <t>ACL-11790</t>
  </si>
  <si>
    <t>ACL-11791</t>
  </si>
  <si>
    <t>ACL-11796</t>
  </si>
  <si>
    <t>ACL-11798</t>
  </si>
  <si>
    <t>ACL-11268</t>
  </si>
  <si>
    <t>ACL-11272</t>
  </si>
  <si>
    <t>ACL-11275</t>
  </si>
  <si>
    <t>ACL-11276</t>
  </si>
  <si>
    <t>ACL-11280</t>
  </si>
  <si>
    <t>ACL-11290</t>
  </si>
  <si>
    <t>ACL-11294</t>
  </si>
  <si>
    <t>ACL-11297</t>
  </si>
  <si>
    <t>ACL-11298</t>
  </si>
  <si>
    <t>ACL-11300</t>
  </si>
  <si>
    <t>ACL-11304</t>
  </si>
  <si>
    <t>ACL-11307</t>
  </si>
  <si>
    <t>ACL-11313</t>
  </si>
  <si>
    <t>ACL-11315</t>
  </si>
  <si>
    <t>ACL-11323</t>
  </si>
  <si>
    <t>ACL-11324</t>
  </si>
  <si>
    <t>ACL-11329</t>
  </si>
  <si>
    <t>ACL-10562</t>
  </si>
  <si>
    <t>ACL-10563</t>
  </si>
  <si>
    <t>ACL-10564</t>
  </si>
  <si>
    <t>ACL-10565</t>
  </si>
  <si>
    <t>ACL-10566</t>
  </si>
  <si>
    <t>ACL-10567</t>
  </si>
  <si>
    <t>ACL-10568</t>
  </si>
  <si>
    <t>ACL-10569</t>
  </si>
  <si>
    <t>ACL-10570</t>
  </si>
  <si>
    <t>ACL-10571</t>
  </si>
  <si>
    <t>ACL-10572</t>
  </si>
  <si>
    <t>ACL-10573</t>
  </si>
  <si>
    <t>ACL-10574</t>
  </si>
  <si>
    <t>ACL-10575</t>
  </si>
  <si>
    <t>ACL-10576</t>
  </si>
  <si>
    <t>ACL-10577</t>
  </si>
  <si>
    <t>ACL-10578</t>
  </si>
  <si>
    <t>ACL-10579</t>
  </si>
  <si>
    <t>ACL-10580</t>
  </si>
  <si>
    <t>ACL-10581</t>
  </si>
  <si>
    <t>ACL-10582</t>
  </si>
  <si>
    <t>ACL-10583</t>
  </si>
  <si>
    <t>ACL-10584</t>
  </si>
  <si>
    <t>ACL-10585</t>
  </si>
  <si>
    <t>ACL-10586</t>
  </si>
  <si>
    <t>ACL-10587</t>
  </si>
  <si>
    <t>ACL-10584b</t>
  </si>
  <si>
    <t>ACL-10585b</t>
  </si>
  <si>
    <t>ACL-11390</t>
  </si>
  <si>
    <t>ACL-11391</t>
  </si>
  <si>
    <t>ACL-11392</t>
  </si>
  <si>
    <t>ACL-11393</t>
  </si>
  <si>
    <t>ACL-11394</t>
  </si>
  <si>
    <t>ACL-11395</t>
  </si>
  <si>
    <t>ACL-11396</t>
  </si>
  <si>
    <t>ACL-11397</t>
  </si>
  <si>
    <t>ACL-11398</t>
  </si>
  <si>
    <t>ACL-11399</t>
  </si>
  <si>
    <t>ACL-11400</t>
  </si>
  <si>
    <t>ACL-11401</t>
  </si>
  <si>
    <t>ACL-11402</t>
  </si>
  <si>
    <t>ACL-11403</t>
  </si>
  <si>
    <t>ACL-11404</t>
  </si>
  <si>
    <t>ACL-11405</t>
  </si>
  <si>
    <t>ACL-11406</t>
  </si>
  <si>
    <t>ACL-11407</t>
  </si>
  <si>
    <t>ACL-11408</t>
  </si>
  <si>
    <t>ACL-11409</t>
  </si>
  <si>
    <t>ACL-11410</t>
  </si>
  <si>
    <t>ACL-11411</t>
  </si>
  <si>
    <t>ACL-11412</t>
  </si>
  <si>
    <t>ACL-11413</t>
  </si>
  <si>
    <t>ACL-11414</t>
  </si>
  <si>
    <t>ACL-11415</t>
  </si>
  <si>
    <t>ACL-11416</t>
  </si>
  <si>
    <t>ACL-11417</t>
  </si>
  <si>
    <t>ACL-11418</t>
  </si>
  <si>
    <t>ACL-11419</t>
  </si>
  <si>
    <t>ACL-11420</t>
  </si>
  <si>
    <t>ACL-11421</t>
  </si>
  <si>
    <t>ACL-11422</t>
  </si>
  <si>
    <t>ACL-11423</t>
  </si>
  <si>
    <t>ACL-11424</t>
  </si>
  <si>
    <t>ACL-11425</t>
  </si>
  <si>
    <t>ACL-11426</t>
  </si>
  <si>
    <t>ACL-11427</t>
  </si>
  <si>
    <t>ACL-11428</t>
  </si>
  <si>
    <t>ACL-11429</t>
  </si>
  <si>
    <t>ACL-11430</t>
  </si>
  <si>
    <t>ACL-11431</t>
  </si>
  <si>
    <t>ACL-11432</t>
  </si>
  <si>
    <t>ACL-11433</t>
  </si>
  <si>
    <t>ACL-11434</t>
  </si>
  <si>
    <t>ACL-11435</t>
  </si>
  <si>
    <t>ACL-11436</t>
  </si>
  <si>
    <t>ACL-11437</t>
  </si>
  <si>
    <t>ACL-11390b</t>
  </si>
  <si>
    <t>ACL-11391b</t>
  </si>
  <si>
    <t>ACL-11392b</t>
  </si>
  <si>
    <t>ACL-11393b</t>
  </si>
  <si>
    <t>ACL-11394b</t>
  </si>
  <si>
    <t>ACL-11395b</t>
  </si>
  <si>
    <t>ACL-11396b</t>
  </si>
  <si>
    <t>ACL-11397b</t>
  </si>
  <si>
    <t>ACL-11398b</t>
  </si>
  <si>
    <t>ACL-11399b</t>
  </si>
  <si>
    <t>ACL-11400b</t>
  </si>
  <si>
    <t>ACL-11401b</t>
  </si>
  <si>
    <t>ACL-11402b</t>
  </si>
  <si>
    <t>ACL-11403b</t>
  </si>
  <si>
    <t>ACL-11404b</t>
  </si>
  <si>
    <t>ACL-11405b</t>
  </si>
  <si>
    <t>ACL-11406b</t>
  </si>
  <si>
    <t>ACL-11407b</t>
  </si>
  <si>
    <t>ACL-11408b</t>
  </si>
  <si>
    <t>ACL-11409b</t>
  </si>
  <si>
    <t>ACL-11410b</t>
  </si>
  <si>
    <t>ACL-11411b</t>
  </si>
  <si>
    <t>ACL-11412b</t>
  </si>
  <si>
    <t>ACL-11413b</t>
  </si>
  <si>
    <t>ACL-11414b</t>
  </si>
  <si>
    <t>ACL-11415b</t>
  </si>
  <si>
    <t>ACL-11416b</t>
  </si>
  <si>
    <t>ACL-11417b</t>
  </si>
  <si>
    <t>ACL-11418b</t>
  </si>
  <si>
    <t>ACL-11419b</t>
  </si>
  <si>
    <t>ACL-11420b</t>
  </si>
  <si>
    <t>ACL-11421b</t>
  </si>
  <si>
    <t>ACL-11422b</t>
  </si>
  <si>
    <t>ACL-11423b</t>
  </si>
  <si>
    <t>ACL-11424b</t>
  </si>
  <si>
    <t>ACL-11425b</t>
  </si>
  <si>
    <t>ACL-11426b</t>
  </si>
  <si>
    <t>ACL-11427b</t>
  </si>
  <si>
    <t>ACL-11428b</t>
  </si>
  <si>
    <t>ACL-11429b</t>
  </si>
  <si>
    <t>ACL-11430b</t>
  </si>
  <si>
    <t>ACL-11431b</t>
  </si>
  <si>
    <t>ACL-11432b</t>
  </si>
  <si>
    <t>ACL-11433b</t>
  </si>
  <si>
    <t>ACL-11434b</t>
  </si>
  <si>
    <t>ACL-11435b</t>
  </si>
  <si>
    <t>ACL-11436b</t>
  </si>
  <si>
    <t>ACL-11437b</t>
  </si>
  <si>
    <t>ACL-11328</t>
  </si>
  <si>
    <t>ACL-11333</t>
  </si>
  <si>
    <t>ACL-11774</t>
  </si>
  <si>
    <t>ACL-11858</t>
  </si>
  <si>
    <t>ACL-11859</t>
  </si>
  <si>
    <t>ACL-11860</t>
  </si>
  <si>
    <t>ACL-11861</t>
  </si>
  <si>
    <t>ACL-11862</t>
  </si>
  <si>
    <t>ACL-11863</t>
  </si>
  <si>
    <t>ACL-11864</t>
  </si>
  <si>
    <t>ACL-11866</t>
  </si>
  <si>
    <t>ACL-11867</t>
  </si>
  <si>
    <t>ACL-11868</t>
  </si>
  <si>
    <t>ACL-11870</t>
  </si>
  <si>
    <t>ACL-11871</t>
  </si>
  <si>
    <t>ACL-11872</t>
  </si>
  <si>
    <t>ACL-11873</t>
  </si>
  <si>
    <t>ACL-11874</t>
  </si>
  <si>
    <t>ACL-11875</t>
  </si>
  <si>
    <t>ACL-11876</t>
  </si>
  <si>
    <t>ACL-11877</t>
  </si>
  <si>
    <t>ACL-11878</t>
  </si>
  <si>
    <t>ACL-11879</t>
  </si>
  <si>
    <t>ACL-11880</t>
  </si>
  <si>
    <t>ACL-11881</t>
  </si>
  <si>
    <t>ACL-11882</t>
  </si>
  <si>
    <t>ACL-11883</t>
  </si>
  <si>
    <t>ACL-11884</t>
  </si>
  <si>
    <t>ACL-11885</t>
  </si>
  <si>
    <t>ACL-11886</t>
  </si>
  <si>
    <t>ACL-11887</t>
  </si>
  <si>
    <t>ACL-11903</t>
  </si>
  <si>
    <t>ACL-11748</t>
  </si>
  <si>
    <t>ACL-11785</t>
  </si>
  <si>
    <t>ACL-11888</t>
  </si>
  <si>
    <t>ACL-11889</t>
  </si>
  <si>
    <t>ACL-11890</t>
  </si>
  <si>
    <t>ACL-11892</t>
  </si>
  <si>
    <t>ACL-11893</t>
  </si>
  <si>
    <t>ACL-11894</t>
  </si>
  <si>
    <t>ACL-11895</t>
  </si>
  <si>
    <t>ACL-11896</t>
  </si>
  <si>
    <t>ACL-11897</t>
  </si>
  <si>
    <t>ACL-11898</t>
  </si>
  <si>
    <t>ACL-11899</t>
  </si>
  <si>
    <t>ACL-11900</t>
  </si>
  <si>
    <t>ACL-11901</t>
  </si>
  <si>
    <t>ACL-11902</t>
  </si>
  <si>
    <t>ACL-11905</t>
  </si>
  <si>
    <t>ACL-11906</t>
  </si>
  <si>
    <t>ACL-11690</t>
  </si>
  <si>
    <t>Dissertation Batch 2 Enamel</t>
  </si>
  <si>
    <t>ACL-11692</t>
  </si>
  <si>
    <t>ACL-11701</t>
  </si>
  <si>
    <t>ACL-11707</t>
  </si>
  <si>
    <t>ACL-11709</t>
  </si>
  <si>
    <t>ACL-11718</t>
  </si>
  <si>
    <t>ACL-11736</t>
  </si>
  <si>
    <t>ACL-11738</t>
  </si>
  <si>
    <t>ACL-11741</t>
  </si>
  <si>
    <t>ACL-11749</t>
  </si>
  <si>
    <t>ACL-11757</t>
  </si>
  <si>
    <t>ACL-11759</t>
  </si>
  <si>
    <t>ACL-11775</t>
  </si>
  <si>
    <t>ACL-11776</t>
  </si>
  <si>
    <t>ACL-11781</t>
  </si>
  <si>
    <t>ACL-11789</t>
  </si>
  <si>
    <t>ACL-11925</t>
  </si>
  <si>
    <t>ACL-11926</t>
  </si>
  <si>
    <t>ACL-11927</t>
  </si>
  <si>
    <t>ACL-11928</t>
  </si>
  <si>
    <t>ACL-11929</t>
  </si>
  <si>
    <t>ACL-11930</t>
  </si>
  <si>
    <t>ACL-11931</t>
  </si>
  <si>
    <t>ACL-11932</t>
  </si>
  <si>
    <t>ACL-11933</t>
  </si>
  <si>
    <t>ACL-11934</t>
  </si>
  <si>
    <t>ACL-11935</t>
  </si>
  <si>
    <t>ACL-11936</t>
  </si>
  <si>
    <t>ACL-11937</t>
  </si>
  <si>
    <t>ACL-11938</t>
  </si>
  <si>
    <t>ACL-11939</t>
  </si>
  <si>
    <t>ACL-11940</t>
  </si>
  <si>
    <t>ACL-11941</t>
  </si>
  <si>
    <t>ACL-11942</t>
  </si>
  <si>
    <t>ACL-11943</t>
  </si>
  <si>
    <t>ACL-11944</t>
  </si>
  <si>
    <t>ACL-11945</t>
  </si>
  <si>
    <t>ACL-11946</t>
  </si>
  <si>
    <t>ACL-11947</t>
  </si>
  <si>
    <t>ACL-11948</t>
  </si>
  <si>
    <t>ACL-11949</t>
  </si>
  <si>
    <t>ACL-11950</t>
  </si>
  <si>
    <t>ACL-11951</t>
  </si>
  <si>
    <t>ACL-11952</t>
  </si>
  <si>
    <t>ACL-11953</t>
  </si>
  <si>
    <t>ACL-11955</t>
  </si>
  <si>
    <t>ACL-12039</t>
  </si>
  <si>
    <t>ACL-12042</t>
  </si>
  <si>
    <t>Dissertation Batch 2 Petrous</t>
  </si>
  <si>
    <t>ACL-12043</t>
  </si>
  <si>
    <t>ACL-12044</t>
  </si>
  <si>
    <t>ACL-12045</t>
  </si>
  <si>
    <t>ACL-12046</t>
  </si>
  <si>
    <t>ACL-12047</t>
  </si>
  <si>
    <t>ACL-12048</t>
  </si>
  <si>
    <t>ACL-12049</t>
  </si>
  <si>
    <t>ACL-12050</t>
  </si>
  <si>
    <t>ACL-12051</t>
  </si>
  <si>
    <t>ACL-12052</t>
  </si>
  <si>
    <t>ACL-12053</t>
  </si>
  <si>
    <t>ACL-12054</t>
  </si>
  <si>
    <t>ACL-12055</t>
  </si>
  <si>
    <t>ACL-12056</t>
  </si>
  <si>
    <t>ACL-12057</t>
  </si>
  <si>
    <t>ACL-12058</t>
  </si>
  <si>
    <t>ACL-12059</t>
  </si>
  <si>
    <t>ACL-12060</t>
  </si>
  <si>
    <t>ACL-12061</t>
  </si>
  <si>
    <t>ACL-12062</t>
  </si>
  <si>
    <t>ACL-12063</t>
  </si>
  <si>
    <t>ACL-12064</t>
  </si>
  <si>
    <t>ACL-12065</t>
  </si>
  <si>
    <t>ACL-12066</t>
  </si>
  <si>
    <t>ACL-12067</t>
  </si>
  <si>
    <t>ACL-12068</t>
  </si>
  <si>
    <t>ACL-12069</t>
  </si>
  <si>
    <t>ACL-12070</t>
  </si>
  <si>
    <t>ACL-12071</t>
  </si>
  <si>
    <t>ACL-12072</t>
  </si>
  <si>
    <t>ACL-12073</t>
  </si>
  <si>
    <t>ACL-12074</t>
  </si>
  <si>
    <t>ACL-12075</t>
  </si>
  <si>
    <t>ACL-12076</t>
  </si>
  <si>
    <t>ACL-12077</t>
  </si>
  <si>
    <t>ACL-12078</t>
  </si>
  <si>
    <t>ACL-12079</t>
  </si>
  <si>
    <t>ACL-12080</t>
  </si>
  <si>
    <t>ACL-12081</t>
  </si>
  <si>
    <t>ACL-12082</t>
  </si>
  <si>
    <t>ACL-12083</t>
  </si>
  <si>
    <t>ACL-12084</t>
  </si>
  <si>
    <t>ACL-12085</t>
  </si>
  <si>
    <t>ACL-12086</t>
  </si>
  <si>
    <t>ACL-12087</t>
  </si>
  <si>
    <t>ACL-12088</t>
  </si>
  <si>
    <t>ACL-12089</t>
  </si>
  <si>
    <t>ACL-12090</t>
  </si>
  <si>
    <t>ACL-12091</t>
  </si>
  <si>
    <t>ACL-12092</t>
  </si>
  <si>
    <t>ACL-11687</t>
  </si>
  <si>
    <t>Serial Sampling</t>
  </si>
  <si>
    <t>ACL-11697</t>
  </si>
  <si>
    <t>ACL-11706</t>
  </si>
  <si>
    <t>ACL-11714</t>
  </si>
  <si>
    <t>ACL-11715</t>
  </si>
  <si>
    <t>ACL-11719</t>
  </si>
  <si>
    <t>ACL-11721</t>
  </si>
  <si>
    <t>ACL-11722</t>
  </si>
  <si>
    <t>ACL-11729</t>
  </si>
  <si>
    <t>ACL-11731</t>
  </si>
  <si>
    <t>ACL-11732</t>
  </si>
  <si>
    <t>ACL-11735</t>
  </si>
  <si>
    <t>ACL-11739</t>
  </si>
  <si>
    <t>ACL-11743</t>
  </si>
  <si>
    <t>ACL-11763</t>
  </si>
  <si>
    <t>ACL-11786</t>
  </si>
  <si>
    <t>ACL-11792</t>
  </si>
  <si>
    <t>ACL-11794</t>
  </si>
  <si>
    <t>ACL-11795</t>
  </si>
  <si>
    <t>ACL-11907</t>
  </si>
  <si>
    <t>ACL-11908</t>
  </si>
  <si>
    <t>ACL-11909</t>
  </si>
  <si>
    <t>ACL-11910</t>
  </si>
  <si>
    <t>ACL-11911</t>
  </si>
  <si>
    <t>ACL-11912</t>
  </si>
  <si>
    <t>ACL-11913</t>
  </si>
  <si>
    <t>ACL-11914</t>
  </si>
  <si>
    <t>ACL-11915</t>
  </si>
  <si>
    <t>ACL-11916</t>
  </si>
  <si>
    <t>ACL-11917</t>
  </si>
  <si>
    <t>ACL-11918</t>
  </si>
  <si>
    <t>ACL-11919</t>
  </si>
  <si>
    <t>ACL-11920</t>
  </si>
  <si>
    <t>ACL-11921</t>
  </si>
  <si>
    <t>ACL-11922</t>
  </si>
  <si>
    <t>ACL-11923</t>
  </si>
  <si>
    <t>ACL-11924</t>
  </si>
  <si>
    <t>ACL-11954</t>
  </si>
  <si>
    <t>ACL-11891</t>
  </si>
  <si>
    <t>ACL-11869</t>
  </si>
  <si>
    <t>CONCENTRATION IN ORIGINAL SAMPLE MATRIX (PPM)</t>
  </si>
  <si>
    <t>NIST_1400*</t>
  </si>
  <si>
    <t>NIST_1400* - not used in combined average, different dilution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</si>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</sst>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2" borderId="2" xfId="0" applyFill="1" applyBorder="1" applyAlignment="1">
      <alignment wrapText="1"/>
    </xf>
    <xf numFmtId="0" fontId="3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3" xfId="0" applyBorder="1"/>
    <xf numFmtId="164" fontId="3" fillId="0" borderId="0" xfId="0" applyNumberFormat="1" applyFont="1"/>
    <xf numFmtId="164" fontId="4" fillId="0" borderId="0" xfId="0" applyNumberFormat="1" applyFont="1"/>
    <xf numFmtId="0" fontId="2" fillId="0" borderId="1" xfId="0" applyFont="1" applyBorder="1"/>
    <xf numFmtId="0" fontId="0" fillId="0" borderId="4" xfId="0" applyBorder="1"/>
    <xf numFmtId="164" fontId="5" fillId="0" borderId="0" xfId="0" applyNumberFormat="1" applyFont="1"/>
    <xf numFmtId="14" fontId="0" fillId="0" borderId="0" xfId="0" applyNumberFormat="1"/>
    <xf numFmtId="14" fontId="5" fillId="0" borderId="0" xfId="0" applyNumberFormat="1" applyFont="1"/>
    <xf numFmtId="9" fontId="0" fillId="0" borderId="0" xfId="1" applyFont="1" applyFill="1"/>
    <xf numFmtId="10" fontId="0" fillId="0" borderId="0" xfId="0" applyNumberFormat="1"/>
    <xf numFmtId="9" fontId="0" fillId="0" borderId="0" xfId="0" applyNumberFormat="1"/>
    <xf numFmtId="0" fontId="0" fillId="0" borderId="0" xfId="1" applyNumberFormat="1" applyFont="1" applyFill="1"/>
    <xf numFmtId="9" fontId="5" fillId="0" borderId="0" xfId="1" applyFont="1" applyFill="1"/>
  </cellXfs>
  <cellStyles count="2">
    <cellStyle name="Normal" xfId="0" builtinId="0"/>
    <cellStyle name="Percent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AB1A-72CD-472E-B28C-585C4CBAF10A}">
  <dimension ref="A1:BE80"/>
  <sheetViews>
    <sheetView zoomScale="85" zoomScaleNormal="85" workbookViewId="0">
      <pane xSplit="2" ySplit="3" topLeftCell="C4" activePane="bottomRight" state="frozen"/>
      <selection sqref="A1:XFD3"/>
      <selection pane="topRight" sqref="A1:XFD3"/>
      <selection pane="bottomLeft" sqref="A1:XFD3"/>
      <selection pane="bottomRight" activeCell="G92" sqref="G92"/>
    </sheetView>
  </sheetViews>
  <sheetFormatPr defaultRowHeight="14.4" x14ac:dyDescent="0.3"/>
  <cols>
    <col min="1" max="1" width="18" style="15" customWidth="1"/>
    <col min="2" max="2" width="15.21875" customWidth="1"/>
    <col min="3" max="5" width="9" bestFit="1" customWidth="1"/>
    <col min="6" max="6" width="9.5546875" bestFit="1" customWidth="1"/>
    <col min="7" max="7" width="9" bestFit="1" customWidth="1"/>
    <col min="8" max="9" width="9.5546875" bestFit="1" customWidth="1"/>
    <col min="10" max="50" width="9" bestFit="1" customWidth="1"/>
    <col min="51" max="51" width="12" bestFit="1" customWidth="1"/>
    <col min="52" max="56" width="9" bestFit="1" customWidth="1"/>
  </cols>
  <sheetData>
    <row r="1" spans="1:56" s="3" customFormat="1" x14ac:dyDescent="0.3">
      <c r="A1" s="16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</row>
    <row r="2" spans="1:56" x14ac:dyDescent="0.3">
      <c r="A2" s="16" t="s">
        <v>110</v>
      </c>
      <c r="B2" s="3" t="s">
        <v>109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 t="s">
        <v>65</v>
      </c>
      <c r="J2" t="s">
        <v>65</v>
      </c>
      <c r="K2" t="s">
        <v>65</v>
      </c>
      <c r="L2" t="s">
        <v>65</v>
      </c>
      <c r="M2" t="s">
        <v>65</v>
      </c>
      <c r="N2" t="s">
        <v>65</v>
      </c>
      <c r="O2" t="s">
        <v>65</v>
      </c>
      <c r="P2" t="s">
        <v>65</v>
      </c>
      <c r="Q2" t="s">
        <v>65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</row>
    <row r="4" spans="1:56" x14ac:dyDescent="0.3">
      <c r="A4" s="15" t="s">
        <v>97</v>
      </c>
      <c r="B4" t="s">
        <v>525</v>
      </c>
      <c r="C4">
        <v>3382.5912541285202</v>
      </c>
      <c r="D4">
        <v>3019.7846233986106</v>
      </c>
      <c r="F4">
        <v>105615.33402079383</v>
      </c>
      <c r="H4">
        <v>225688.56285226002</v>
      </c>
      <c r="I4">
        <v>205714.38388661825</v>
      </c>
      <c r="K4">
        <v>0.31237821895103057</v>
      </c>
      <c r="M4">
        <v>6.9068693364667118</v>
      </c>
      <c r="N4">
        <v>146.28010971315456</v>
      </c>
      <c r="O4">
        <v>146.37538881962689</v>
      </c>
      <c r="X4">
        <v>0.23222858810773472</v>
      </c>
      <c r="Y4">
        <v>131.97871690802674</v>
      </c>
      <c r="Z4">
        <v>4.3700120315746078</v>
      </c>
      <c r="AA4">
        <v>2.2234211117760672</v>
      </c>
      <c r="AB4">
        <v>2.214557574586371</v>
      </c>
      <c r="AC4">
        <v>2.1683500467534853</v>
      </c>
      <c r="AG4">
        <v>135.80230781275733</v>
      </c>
      <c r="AI4">
        <v>0.27362330373627047</v>
      </c>
      <c r="AJ4">
        <v>2.5887669028924754E-2</v>
      </c>
      <c r="AK4">
        <v>0.10036737962701039</v>
      </c>
      <c r="AL4">
        <v>2.101197923432006E-2</v>
      </c>
      <c r="AM4">
        <v>7.0834315476380671E-3</v>
      </c>
      <c r="AN4">
        <v>2.1792630968171089E-2</v>
      </c>
      <c r="AO4">
        <v>3.3661756369614509E-3</v>
      </c>
      <c r="AP4">
        <v>2.0174559128751282E-2</v>
      </c>
      <c r="AQ4">
        <v>4.0061167046436088E-3</v>
      </c>
      <c r="AR4">
        <v>1.0640335883714163E-2</v>
      </c>
      <c r="AS4">
        <v>1.3043081908635759E-3</v>
      </c>
      <c r="AT4">
        <v>8.6607608240488795E-3</v>
      </c>
      <c r="AU4">
        <v>1.0814018964988357E-3</v>
      </c>
      <c r="AZ4">
        <v>4.8455631020010888</v>
      </c>
      <c r="BA4">
        <v>4.4688901277602282</v>
      </c>
      <c r="BB4">
        <v>4.493143799649693</v>
      </c>
      <c r="BD4">
        <v>2.9267419689830185E-2</v>
      </c>
    </row>
    <row r="5" spans="1:56" x14ac:dyDescent="0.3">
      <c r="A5" s="15" t="s">
        <v>97</v>
      </c>
      <c r="B5" t="s">
        <v>525</v>
      </c>
      <c r="C5">
        <v>3355.6451649609257</v>
      </c>
      <c r="D5">
        <v>3013.2678342934614</v>
      </c>
      <c r="F5">
        <v>106105.77327998163</v>
      </c>
      <c r="H5">
        <v>225742.93424304438</v>
      </c>
      <c r="I5">
        <v>207032.96559219106</v>
      </c>
      <c r="K5">
        <v>0.3272508868014668</v>
      </c>
      <c r="M5">
        <v>6.9743908177801091</v>
      </c>
      <c r="N5">
        <v>148.14597288077471</v>
      </c>
      <c r="O5">
        <v>146.04038462189072</v>
      </c>
      <c r="X5">
        <v>0.23006622272268243</v>
      </c>
      <c r="Y5">
        <v>132.80185082826489</v>
      </c>
      <c r="Z5">
        <v>4.1694419033038885</v>
      </c>
      <c r="AA5">
        <v>2.1950480146557743</v>
      </c>
      <c r="AB5">
        <v>2.2090341404726042</v>
      </c>
      <c r="AC5">
        <v>2.1353991935643735</v>
      </c>
      <c r="AG5">
        <v>136.46183251553072</v>
      </c>
      <c r="AI5">
        <v>0.26725100037135546</v>
      </c>
      <c r="AJ5">
        <v>2.5882408155349274E-2</v>
      </c>
      <c r="AK5">
        <v>0.10275768815087344</v>
      </c>
      <c r="AL5">
        <v>2.2370383791542492E-2</v>
      </c>
      <c r="AM5">
        <v>6.938655927377366E-3</v>
      </c>
      <c r="AN5">
        <v>2.2322528691798304E-2</v>
      </c>
      <c r="AO5">
        <v>3.4072773500040195E-3</v>
      </c>
      <c r="AP5">
        <v>1.9918642250015793E-2</v>
      </c>
      <c r="AQ5">
        <v>3.9469623924100403E-3</v>
      </c>
      <c r="AR5">
        <v>1.0550126896262729E-2</v>
      </c>
      <c r="AS5">
        <v>1.5550157647540512E-3</v>
      </c>
      <c r="AT5">
        <v>8.7761063256887369E-3</v>
      </c>
      <c r="AU5">
        <v>1.1308326884468826E-3</v>
      </c>
      <c r="AZ5">
        <v>4.8706135299727835</v>
      </c>
      <c r="BA5">
        <v>4.5001431237250396</v>
      </c>
      <c r="BB5">
        <v>4.5101587113518358</v>
      </c>
      <c r="BD5">
        <v>3.0043827989971829E-2</v>
      </c>
    </row>
    <row r="6" spans="1:56" x14ac:dyDescent="0.3">
      <c r="A6" s="15" t="s">
        <v>97</v>
      </c>
      <c r="B6" t="s">
        <v>525</v>
      </c>
      <c r="C6">
        <v>3410.1978627502017</v>
      </c>
      <c r="D6">
        <v>3025.7132781784685</v>
      </c>
      <c r="F6">
        <v>105589.58028249342</v>
      </c>
      <c r="H6">
        <v>224524.19341344378</v>
      </c>
      <c r="I6">
        <v>206203.03371795636</v>
      </c>
      <c r="K6">
        <v>0.33205449591716762</v>
      </c>
      <c r="M6">
        <v>6.9587487333535911</v>
      </c>
      <c r="N6">
        <v>147.86864627530872</v>
      </c>
      <c r="O6">
        <v>146.90560126894789</v>
      </c>
      <c r="X6">
        <v>0.22918209090106331</v>
      </c>
      <c r="Y6">
        <v>132.02474506974426</v>
      </c>
      <c r="Z6">
        <v>4.2188116653546608</v>
      </c>
      <c r="AA6">
        <v>2.2114917255772863</v>
      </c>
      <c r="AB6">
        <v>2.1963788870462304</v>
      </c>
      <c r="AC6">
        <v>2.1550958673870939</v>
      </c>
      <c r="AG6">
        <v>136.03577090819763</v>
      </c>
      <c r="AI6">
        <v>0.27078715113075491</v>
      </c>
      <c r="AJ6">
        <v>2.5066075049745631E-2</v>
      </c>
      <c r="AK6">
        <v>0.10349944057254955</v>
      </c>
      <c r="AL6">
        <v>2.1001891082623E-2</v>
      </c>
      <c r="AM6">
        <v>7.1729115456747265E-3</v>
      </c>
      <c r="AN6">
        <v>2.2895971534022994E-2</v>
      </c>
      <c r="AO6">
        <v>3.230728664472386E-3</v>
      </c>
      <c r="AP6">
        <v>1.985034686334745E-2</v>
      </c>
      <c r="AQ6">
        <v>4.0805166403782931E-3</v>
      </c>
      <c r="AR6">
        <v>1.0727408113670919E-2</v>
      </c>
      <c r="AS6">
        <v>1.3871210154547105E-3</v>
      </c>
      <c r="AT6">
        <v>8.4644646167330809E-3</v>
      </c>
      <c r="AU6">
        <v>1.0670573783670462E-3</v>
      </c>
      <c r="AZ6">
        <v>4.8702514030110899</v>
      </c>
      <c r="BA6">
        <v>4.5161983826506784</v>
      </c>
      <c r="BB6">
        <v>4.5184089126689386</v>
      </c>
      <c r="BD6">
        <v>2.9295569232483897E-2</v>
      </c>
    </row>
    <row r="7" spans="1:56" s="1" customFormat="1" x14ac:dyDescent="0.3">
      <c r="A7" s="1" t="s">
        <v>98</v>
      </c>
      <c r="B7" s="1" t="s">
        <v>525</v>
      </c>
      <c r="C7" s="1">
        <v>3902.3319265869395</v>
      </c>
      <c r="D7" s="1">
        <v>3536.2728110383564</v>
      </c>
      <c r="F7" s="1">
        <v>125162.15979307356</v>
      </c>
      <c r="H7" s="1">
        <v>258872.13455867377</v>
      </c>
      <c r="I7" s="1">
        <v>250560.70297331258</v>
      </c>
      <c r="K7" s="1">
        <v>0.49193029964151463</v>
      </c>
      <c r="M7" s="1">
        <v>10.874360904479895</v>
      </c>
      <c r="N7" s="1">
        <v>378.86757161264057</v>
      </c>
      <c r="O7" s="1">
        <v>388.15144466830498</v>
      </c>
      <c r="R7" s="1">
        <v>1.9664542016087989</v>
      </c>
      <c r="S7" s="1">
        <v>2.0085978507632682</v>
      </c>
      <c r="T7" s="1">
        <v>96.1534212936686</v>
      </c>
      <c r="X7" s="1">
        <v>0.42698118630467813</v>
      </c>
      <c r="Y7" s="1">
        <v>152.62076480931717</v>
      </c>
      <c r="AG7" s="1">
        <v>161.44673456663585</v>
      </c>
      <c r="AH7" s="1">
        <v>0.25141561234031606</v>
      </c>
      <c r="AI7" s="1">
        <v>0.51935715932825965</v>
      </c>
      <c r="AJ7" s="1">
        <v>4.942218576491926E-2</v>
      </c>
      <c r="AK7" s="1">
        <v>0.18710233707486162</v>
      </c>
      <c r="AL7" s="1">
        <v>3.6370476326708902E-2</v>
      </c>
      <c r="AM7" s="1">
        <v>1.008951234632207E-2</v>
      </c>
      <c r="AN7" s="1">
        <v>3.6531470321234806E-2</v>
      </c>
      <c r="AO7" s="1">
        <v>5.281625579821982E-3</v>
      </c>
      <c r="AP7" s="1">
        <v>3.020138697394879E-2</v>
      </c>
      <c r="AQ7" s="1">
        <v>6.1648987848388478E-3</v>
      </c>
      <c r="AR7" s="1">
        <v>1.6726966385061496E-2</v>
      </c>
      <c r="AS7" s="1">
        <v>2.2796062190007585E-3</v>
      </c>
      <c r="AT7" s="1">
        <v>1.4151496250547457E-2</v>
      </c>
      <c r="AU7" s="1">
        <v>1.8565375646780187E-3</v>
      </c>
      <c r="AZ7" s="1">
        <v>5.3008272166181296</v>
      </c>
      <c r="BA7" s="1">
        <v>4.8906279750003119</v>
      </c>
      <c r="BB7" s="1">
        <v>5.0716267830023884</v>
      </c>
      <c r="BC7" s="1">
        <v>5.5520669621268622E-2</v>
      </c>
      <c r="BD7" s="1">
        <v>4.5601460593406765E-2</v>
      </c>
    </row>
    <row r="8" spans="1:56" x14ac:dyDescent="0.3">
      <c r="A8" s="15" t="s">
        <v>103</v>
      </c>
      <c r="B8" t="s">
        <v>58</v>
      </c>
      <c r="C8">
        <v>210.55501374521856</v>
      </c>
      <c r="D8">
        <v>215.79930135337543</v>
      </c>
      <c r="E8">
        <v>11.830287229394623</v>
      </c>
      <c r="F8">
        <v>5993.6332196375133</v>
      </c>
      <c r="G8" t="s">
        <v>56</v>
      </c>
      <c r="H8">
        <v>13309.211766852783</v>
      </c>
      <c r="I8">
        <v>12702.841100471249</v>
      </c>
      <c r="J8">
        <v>0.55933701696838189</v>
      </c>
      <c r="K8">
        <v>2.230048543526612E-2</v>
      </c>
      <c r="L8">
        <v>7.641217511660478E-2</v>
      </c>
      <c r="M8">
        <v>0.8003726054228234</v>
      </c>
      <c r="N8">
        <v>20.079081084054465</v>
      </c>
      <c r="O8">
        <v>20.459894246777079</v>
      </c>
      <c r="P8">
        <v>5.2864102312924653E-3</v>
      </c>
      <c r="Q8">
        <v>0.16676521034279529</v>
      </c>
      <c r="R8">
        <v>6.4177401139063103E-2</v>
      </c>
      <c r="S8">
        <v>7.0476046417438321E-2</v>
      </c>
      <c r="T8">
        <v>5.7195634712600301</v>
      </c>
      <c r="U8">
        <v>5.8403714458089588</v>
      </c>
      <c r="V8" t="s">
        <v>56</v>
      </c>
      <c r="W8" t="s">
        <v>54</v>
      </c>
      <c r="X8">
        <v>2.1327473716044293E-2</v>
      </c>
      <c r="Y8">
        <v>7.7424088322292288</v>
      </c>
      <c r="Z8">
        <v>0.2053392449910815</v>
      </c>
      <c r="AA8">
        <v>6.4050529763492375E-2</v>
      </c>
      <c r="AB8">
        <v>5.9538007583770432E-2</v>
      </c>
      <c r="AC8" t="s">
        <v>56</v>
      </c>
      <c r="AD8" t="s">
        <v>56</v>
      </c>
      <c r="AE8">
        <v>2.123748667597198E-2</v>
      </c>
      <c r="AF8">
        <v>2.7649056925031058E-4</v>
      </c>
      <c r="AG8">
        <v>7.8767340514103239</v>
      </c>
      <c r="AH8">
        <v>1.1971907498628502E-2</v>
      </c>
      <c r="AI8">
        <v>2.4659037153913578E-2</v>
      </c>
      <c r="AJ8">
        <v>2.3040571693908932E-3</v>
      </c>
      <c r="AK8">
        <v>9.7520241979937392E-3</v>
      </c>
      <c r="AL8">
        <v>1.853238159064158E-3</v>
      </c>
      <c r="AM8">
        <v>4.8696918214842565E-4</v>
      </c>
      <c r="AN8">
        <v>1.6485723782759694E-3</v>
      </c>
      <c r="AO8" t="s">
        <v>56</v>
      </c>
      <c r="AP8">
        <v>1.4467314024755615E-3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>
        <v>7.6188058513576129E-2</v>
      </c>
      <c r="AW8">
        <v>0.1413722262372111</v>
      </c>
      <c r="AX8" t="s">
        <v>54</v>
      </c>
      <c r="AY8" t="s">
        <v>56</v>
      </c>
      <c r="AZ8">
        <v>0.32219328490878596</v>
      </c>
      <c r="BA8">
        <v>0.30027396916960725</v>
      </c>
      <c r="BB8">
        <v>0.31015975118329803</v>
      </c>
      <c r="BC8">
        <v>0.13296490271588943</v>
      </c>
      <c r="BD8">
        <v>2.4505634449030222E-3</v>
      </c>
    </row>
    <row r="9" spans="1:56" x14ac:dyDescent="0.3">
      <c r="A9" s="15" t="s">
        <v>103</v>
      </c>
      <c r="B9" t="s">
        <v>58</v>
      </c>
      <c r="C9">
        <v>209.25042439241483</v>
      </c>
      <c r="D9">
        <v>213.01209498248451</v>
      </c>
      <c r="E9">
        <v>11.064662760581077</v>
      </c>
      <c r="F9">
        <v>5873.8936323271164</v>
      </c>
      <c r="G9" t="s">
        <v>54</v>
      </c>
      <c r="H9">
        <v>13179.114742854801</v>
      </c>
      <c r="I9">
        <v>12706.968939626906</v>
      </c>
      <c r="J9">
        <v>0.45753728530950105</v>
      </c>
      <c r="K9">
        <v>1.9937263397788625E-2</v>
      </c>
      <c r="L9">
        <v>8.6459278475299342E-2</v>
      </c>
      <c r="M9">
        <v>0.77869292947386937</v>
      </c>
      <c r="N9">
        <v>19.547828626090254</v>
      </c>
      <c r="O9">
        <v>20.215991904228247</v>
      </c>
      <c r="P9">
        <v>4.5181771092312204E-3</v>
      </c>
      <c r="Q9">
        <v>0.16628625517971155</v>
      </c>
      <c r="R9">
        <v>6.0906320151881362E-2</v>
      </c>
      <c r="S9">
        <v>6.2850005730680406E-2</v>
      </c>
      <c r="T9">
        <v>5.5859423553155656</v>
      </c>
      <c r="U9">
        <v>5.8425765947172472</v>
      </c>
      <c r="V9" t="s">
        <v>54</v>
      </c>
      <c r="W9" t="s">
        <v>54</v>
      </c>
      <c r="X9">
        <v>1.7284923378802886E-2</v>
      </c>
      <c r="Y9">
        <v>7.7321604912067681</v>
      </c>
      <c r="Z9">
        <v>0.17004216854992188</v>
      </c>
      <c r="AA9" t="s">
        <v>54</v>
      </c>
      <c r="AB9" t="s">
        <v>54</v>
      </c>
      <c r="AC9" t="s">
        <v>56</v>
      </c>
      <c r="AD9" t="s">
        <v>56</v>
      </c>
      <c r="AE9">
        <v>2.1452595454115188E-2</v>
      </c>
      <c r="AF9">
        <v>3.0232325359606457E-4</v>
      </c>
      <c r="AG9">
        <v>7.887473702764332</v>
      </c>
      <c r="AH9">
        <v>1.1747175848937511E-2</v>
      </c>
      <c r="AI9">
        <v>2.4726043006779636E-2</v>
      </c>
      <c r="AJ9">
        <v>2.394642285913808E-3</v>
      </c>
      <c r="AK9">
        <v>8.9781991645923633E-3</v>
      </c>
      <c r="AL9">
        <v>2.1494669614025587E-3</v>
      </c>
      <c r="AM9">
        <v>5.8072376921682294E-4</v>
      </c>
      <c r="AN9">
        <v>1.6721560341475519E-3</v>
      </c>
      <c r="AO9" t="s">
        <v>56</v>
      </c>
      <c r="AP9">
        <v>1.1723619670864283E-3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>
        <v>2.4839581611189772E-2</v>
      </c>
      <c r="AW9" t="s">
        <v>56</v>
      </c>
      <c r="AX9" t="s">
        <v>54</v>
      </c>
      <c r="AY9" t="s">
        <v>56</v>
      </c>
      <c r="AZ9">
        <v>0.3228580487382034</v>
      </c>
      <c r="BA9">
        <v>0.29856284780210773</v>
      </c>
      <c r="BB9">
        <v>0.30888345852779114</v>
      </c>
      <c r="BC9">
        <v>2.3073549965832996E-2</v>
      </c>
      <c r="BD9">
        <v>1.843204801415354E-3</v>
      </c>
    </row>
    <row r="10" spans="1:56" x14ac:dyDescent="0.3">
      <c r="A10" s="15" t="s">
        <v>103</v>
      </c>
      <c r="B10" t="s">
        <v>58</v>
      </c>
      <c r="C10">
        <v>212.92457536919258</v>
      </c>
      <c r="D10">
        <v>215.27392156522285</v>
      </c>
      <c r="E10">
        <v>11.625734291938624</v>
      </c>
      <c r="F10">
        <v>5907.3976182852966</v>
      </c>
      <c r="G10" t="s">
        <v>56</v>
      </c>
      <c r="H10">
        <v>13347.855007033013</v>
      </c>
      <c r="I10">
        <v>12799.462273181476</v>
      </c>
      <c r="J10">
        <v>0.50985677116223826</v>
      </c>
      <c r="K10">
        <v>2.1163961939229949E-2</v>
      </c>
      <c r="L10">
        <v>8.7313323744293514E-2</v>
      </c>
      <c r="M10">
        <v>0.77593855995039018</v>
      </c>
      <c r="N10">
        <v>19.606391408495366</v>
      </c>
      <c r="O10">
        <v>19.995805445671866</v>
      </c>
      <c r="P10">
        <v>5.4137176906319077E-3</v>
      </c>
      <c r="Q10">
        <v>0.15773936764201421</v>
      </c>
      <c r="R10">
        <v>6.4053935999990319E-2</v>
      </c>
      <c r="S10">
        <v>6.3138354668330524E-2</v>
      </c>
      <c r="T10">
        <v>5.7028679859648284</v>
      </c>
      <c r="U10">
        <v>5.9557855563857656</v>
      </c>
      <c r="V10" t="s">
        <v>56</v>
      </c>
      <c r="W10" t="s">
        <v>54</v>
      </c>
      <c r="X10">
        <v>1.7580923551709822E-2</v>
      </c>
      <c r="Y10">
        <v>7.816819340517303</v>
      </c>
      <c r="Z10">
        <v>0.1329792909774167</v>
      </c>
      <c r="AA10" t="s">
        <v>54</v>
      </c>
      <c r="AB10" t="s">
        <v>54</v>
      </c>
      <c r="AC10" t="s">
        <v>56</v>
      </c>
      <c r="AD10" t="s">
        <v>56</v>
      </c>
      <c r="AE10">
        <v>2.0604115913971287E-2</v>
      </c>
      <c r="AF10">
        <v>2.7119733391685872E-4</v>
      </c>
      <c r="AG10">
        <v>7.952205306371817</v>
      </c>
      <c r="AH10">
        <v>1.205126629409467E-2</v>
      </c>
      <c r="AI10">
        <v>2.4562471118482199E-2</v>
      </c>
      <c r="AJ10">
        <v>2.525651525428958E-3</v>
      </c>
      <c r="AK10">
        <v>9.2404235914810492E-3</v>
      </c>
      <c r="AL10">
        <v>1.7081075081189579E-3</v>
      </c>
      <c r="AM10">
        <v>4.7493641095250127E-4</v>
      </c>
      <c r="AN10">
        <v>1.6955682387750466E-3</v>
      </c>
      <c r="AO10">
        <v>2.346702193082619E-4</v>
      </c>
      <c r="AP10">
        <v>1.5043078432607803E-3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>
        <v>1.3922065806225492E-2</v>
      </c>
      <c r="AW10" t="s">
        <v>54</v>
      </c>
      <c r="AX10" t="s">
        <v>54</v>
      </c>
      <c r="AY10" t="s">
        <v>54</v>
      </c>
      <c r="AZ10">
        <v>0.32417368902066279</v>
      </c>
      <c r="BA10">
        <v>0.30135391915185189</v>
      </c>
      <c r="BB10">
        <v>0.31050297431141899</v>
      </c>
      <c r="BC10">
        <v>1.2895218348191122E-2</v>
      </c>
      <c r="BD10">
        <v>1.8947384621027677E-3</v>
      </c>
    </row>
    <row r="11" spans="1:56" x14ac:dyDescent="0.3">
      <c r="A11" s="15" t="s">
        <v>103</v>
      </c>
      <c r="B11" t="s">
        <v>58</v>
      </c>
      <c r="C11">
        <v>214.65599756363343</v>
      </c>
      <c r="D11">
        <v>215.79919235288838</v>
      </c>
      <c r="E11">
        <v>11.176979869810511</v>
      </c>
      <c r="F11">
        <v>5909.6904329867821</v>
      </c>
      <c r="G11" t="s">
        <v>56</v>
      </c>
      <c r="H11">
        <v>13437.649549314934</v>
      </c>
      <c r="I11">
        <v>12866.70519822494</v>
      </c>
      <c r="J11">
        <v>0.32814372137255216</v>
      </c>
      <c r="K11">
        <v>2.1399483910230849E-2</v>
      </c>
      <c r="L11">
        <v>8.8356085399372425E-2</v>
      </c>
      <c r="M11">
        <v>0.78134687788570722</v>
      </c>
      <c r="N11">
        <v>19.520006080839782</v>
      </c>
      <c r="O11">
        <v>19.975239138212686</v>
      </c>
      <c r="P11">
        <v>4.6795104194211588E-3</v>
      </c>
      <c r="Q11">
        <v>0.16661455538846132</v>
      </c>
      <c r="R11">
        <v>6.4860772473576953E-2</v>
      </c>
      <c r="S11">
        <v>6.6000520449168876E-2</v>
      </c>
      <c r="T11">
        <v>5.7762145377377214</v>
      </c>
      <c r="U11">
        <v>5.9697916482457991</v>
      </c>
      <c r="V11" t="s">
        <v>56</v>
      </c>
      <c r="W11" t="s">
        <v>54</v>
      </c>
      <c r="X11">
        <v>1.7759548872039527E-2</v>
      </c>
      <c r="Y11">
        <v>7.8177999345126477</v>
      </c>
      <c r="Z11">
        <v>0.12061061091268045</v>
      </c>
      <c r="AA11" t="s">
        <v>54</v>
      </c>
      <c r="AB11" t="s">
        <v>54</v>
      </c>
      <c r="AC11" t="s">
        <v>56</v>
      </c>
      <c r="AD11" t="s">
        <v>56</v>
      </c>
      <c r="AE11">
        <v>2.0070947568307636E-2</v>
      </c>
      <c r="AF11">
        <v>2.731293987864109E-4</v>
      </c>
      <c r="AG11">
        <v>7.9600152154120085</v>
      </c>
      <c r="AH11">
        <v>1.1885176871922063E-2</v>
      </c>
      <c r="AI11">
        <v>2.5043512065959173E-2</v>
      </c>
      <c r="AJ11">
        <v>2.5196721377351056E-3</v>
      </c>
      <c r="AK11">
        <v>9.4404029687598645E-3</v>
      </c>
      <c r="AL11">
        <v>1.9270327080077409E-3</v>
      </c>
      <c r="AM11">
        <v>4.5307718555109622E-4</v>
      </c>
      <c r="AN11">
        <v>1.7097082114415634E-3</v>
      </c>
      <c r="AO11">
        <v>2.329112970060706E-4</v>
      </c>
      <c r="AP11">
        <v>1.3537976882085584E-3</v>
      </c>
      <c r="AQ11" t="s">
        <v>56</v>
      </c>
      <c r="AR11" t="s">
        <v>56</v>
      </c>
      <c r="AS11" t="s">
        <v>56</v>
      </c>
      <c r="AT11">
        <v>7.2988573966500209E-4</v>
      </c>
      <c r="AU11" t="s">
        <v>56</v>
      </c>
      <c r="AV11">
        <v>9.0146360775937816E-3</v>
      </c>
      <c r="AW11" t="s">
        <v>54</v>
      </c>
      <c r="AX11" t="s">
        <v>54</v>
      </c>
      <c r="AY11" t="s">
        <v>54</v>
      </c>
      <c r="AZ11">
        <v>0.32335774837803322</v>
      </c>
      <c r="BA11">
        <v>0.29784185068115254</v>
      </c>
      <c r="BB11">
        <v>0.31039807334839198</v>
      </c>
      <c r="BC11">
        <v>7.452822288085529E-3</v>
      </c>
      <c r="BD11">
        <v>1.8538151609756521E-3</v>
      </c>
    </row>
    <row r="12" spans="1:56" x14ac:dyDescent="0.3">
      <c r="A12" s="15" t="s">
        <v>103</v>
      </c>
      <c r="B12" t="s">
        <v>58</v>
      </c>
      <c r="C12">
        <v>212.96187458722969</v>
      </c>
      <c r="D12">
        <v>214.36804829216467</v>
      </c>
      <c r="E12">
        <v>11.322475654345068</v>
      </c>
      <c r="F12">
        <v>5874.713954461723</v>
      </c>
      <c r="G12" t="s">
        <v>56</v>
      </c>
      <c r="H12">
        <v>13424.228502166961</v>
      </c>
      <c r="I12">
        <v>12909.78010419983</v>
      </c>
      <c r="J12">
        <v>0.4706142778318449</v>
      </c>
      <c r="K12">
        <v>2.2254909290323314E-2</v>
      </c>
      <c r="L12">
        <v>9.7623545215856172E-2</v>
      </c>
      <c r="M12">
        <v>0.77640072525911663</v>
      </c>
      <c r="N12">
        <v>18.965581453075199</v>
      </c>
      <c r="O12">
        <v>19.745100233173304</v>
      </c>
      <c r="P12">
        <v>4.6702221032339959E-3</v>
      </c>
      <c r="Q12">
        <v>0.16787545572405135</v>
      </c>
      <c r="R12">
        <v>6.1997283482098112E-2</v>
      </c>
      <c r="S12">
        <v>6.1548983675942713E-2</v>
      </c>
      <c r="T12">
        <v>5.7436650925279666</v>
      </c>
      <c r="U12">
        <v>5.9962462937264247</v>
      </c>
      <c r="V12" t="s">
        <v>56</v>
      </c>
      <c r="W12" t="s">
        <v>54</v>
      </c>
      <c r="X12">
        <v>1.7473151337398494E-2</v>
      </c>
      <c r="Y12">
        <v>7.8230563939833422</v>
      </c>
      <c r="Z12">
        <v>0.1321210139848798</v>
      </c>
      <c r="AA12" t="s">
        <v>54</v>
      </c>
      <c r="AB12" t="s">
        <v>54</v>
      </c>
      <c r="AC12" t="s">
        <v>56</v>
      </c>
      <c r="AD12" t="s">
        <v>56</v>
      </c>
      <c r="AE12">
        <v>2.257466751107963E-2</v>
      </c>
      <c r="AF12">
        <v>3.3587436702088797E-4</v>
      </c>
      <c r="AG12">
        <v>7.9906495382612448</v>
      </c>
      <c r="AH12">
        <v>1.2098635144985947E-2</v>
      </c>
      <c r="AI12">
        <v>2.580325726241791E-2</v>
      </c>
      <c r="AJ12">
        <v>2.5580264085237358E-3</v>
      </c>
      <c r="AK12">
        <v>9.2875395074590462E-3</v>
      </c>
      <c r="AL12">
        <v>1.7926596737595187E-3</v>
      </c>
      <c r="AM12">
        <v>5.3292287052471754E-4</v>
      </c>
      <c r="AN12">
        <v>1.964744437043683E-3</v>
      </c>
      <c r="AO12">
        <v>2.2139143636387736E-4</v>
      </c>
      <c r="AP12">
        <v>1.2817900925866711E-3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>
        <v>1.1055396389464563E-2</v>
      </c>
      <c r="AW12" t="s">
        <v>54</v>
      </c>
      <c r="AX12" t="s">
        <v>54</v>
      </c>
      <c r="AY12" t="s">
        <v>56</v>
      </c>
      <c r="AZ12">
        <v>0.32479756902940277</v>
      </c>
      <c r="BA12">
        <v>0.29972777619099494</v>
      </c>
      <c r="BB12">
        <v>0.31098575952564023</v>
      </c>
      <c r="BC12">
        <v>8.1930648109473196E-3</v>
      </c>
      <c r="BD12">
        <v>1.8584796472664227E-3</v>
      </c>
    </row>
    <row r="13" spans="1:56" x14ac:dyDescent="0.3">
      <c r="A13" s="15" t="s">
        <v>104</v>
      </c>
      <c r="B13" t="s">
        <v>58</v>
      </c>
      <c r="C13">
        <v>189.9582868286607</v>
      </c>
      <c r="D13">
        <v>198.49726954243886</v>
      </c>
      <c r="E13">
        <v>12.235782034271642</v>
      </c>
      <c r="F13">
        <v>5445.0944646612252</v>
      </c>
      <c r="G13">
        <v>4.1830807833144243</v>
      </c>
      <c r="H13">
        <v>12136.001763609931</v>
      </c>
      <c r="I13">
        <v>11683.030688255762</v>
      </c>
      <c r="J13">
        <v>0.64403475279854083</v>
      </c>
      <c r="K13">
        <v>1.7971587003853384E-2</v>
      </c>
      <c r="L13">
        <v>0.105459751852191</v>
      </c>
      <c r="M13">
        <v>0.73636628145727501</v>
      </c>
      <c r="N13">
        <v>18.509372687326884</v>
      </c>
      <c r="O13">
        <v>18.952356758116547</v>
      </c>
      <c r="P13">
        <v>3.453525179571453E-3</v>
      </c>
      <c r="Q13">
        <v>0.1564890337298632</v>
      </c>
      <c r="R13">
        <v>5.4232242138680394E-2</v>
      </c>
      <c r="S13">
        <v>5.5004171889855492E-2</v>
      </c>
      <c r="T13">
        <v>4.9619071545946483</v>
      </c>
      <c r="U13">
        <v>5.1536788411896826</v>
      </c>
      <c r="V13">
        <v>2.5163963965495726E-2</v>
      </c>
      <c r="W13" t="s">
        <v>54</v>
      </c>
      <c r="X13">
        <v>1.7038462834881529E-2</v>
      </c>
      <c r="Y13">
        <v>7.0646100664212135</v>
      </c>
      <c r="Z13">
        <v>0.22829389670550279</v>
      </c>
      <c r="AA13">
        <v>0.12114218413132062</v>
      </c>
      <c r="AB13">
        <v>0.11217761957219068</v>
      </c>
      <c r="AC13">
        <v>6.6367650792918838E-4</v>
      </c>
      <c r="AD13">
        <v>4.5031579409229937E-2</v>
      </c>
      <c r="AE13">
        <v>1.8541521702696556E-2</v>
      </c>
      <c r="AF13">
        <v>3.4889580903779265E-4</v>
      </c>
      <c r="AG13">
        <v>7.1710029863006293</v>
      </c>
      <c r="AH13">
        <v>1.0978043695242997E-2</v>
      </c>
      <c r="AI13">
        <v>2.3225799166521659E-2</v>
      </c>
      <c r="AJ13">
        <v>2.230706453899973E-3</v>
      </c>
      <c r="AK13">
        <v>8.4875157600591347E-3</v>
      </c>
      <c r="AL13">
        <v>1.8985869619571308E-3</v>
      </c>
      <c r="AM13">
        <v>4.9585160234699146E-4</v>
      </c>
      <c r="AN13">
        <v>1.567390765798126E-3</v>
      </c>
      <c r="AO13">
        <v>2.5224301193619534E-4</v>
      </c>
      <c r="AP13">
        <v>1.1408146416789914E-3</v>
      </c>
      <c r="AQ13">
        <v>2.4631679085906531E-4</v>
      </c>
      <c r="AR13">
        <v>5.9719308858337738E-4</v>
      </c>
      <c r="AS13" t="s">
        <v>54</v>
      </c>
      <c r="AT13">
        <v>7.0442789636779215E-4</v>
      </c>
      <c r="AU13">
        <v>8.5539351850736747E-5</v>
      </c>
      <c r="AV13">
        <v>6.4253568989135881E-2</v>
      </c>
      <c r="AW13">
        <v>0.28898594064816557</v>
      </c>
      <c r="AX13">
        <v>6.2313408053891862E-5</v>
      </c>
      <c r="AY13">
        <v>3.4840553997580017E-4</v>
      </c>
      <c r="AZ13">
        <v>0.28641329052094189</v>
      </c>
      <c r="BA13">
        <v>0.26149618308862188</v>
      </c>
      <c r="BB13">
        <v>0.26970965329954932</v>
      </c>
      <c r="BC13">
        <v>6.4189338628962977E-2</v>
      </c>
      <c r="BD13">
        <v>2.4136316553298861E-3</v>
      </c>
    </row>
    <row r="14" spans="1:56" x14ac:dyDescent="0.3">
      <c r="A14" s="15" t="s">
        <v>104</v>
      </c>
      <c r="B14" t="s">
        <v>58</v>
      </c>
      <c r="C14">
        <v>189.19415895679822</v>
      </c>
      <c r="D14">
        <v>196.81464354998468</v>
      </c>
      <c r="E14">
        <v>11.661120991254672</v>
      </c>
      <c r="F14">
        <v>5391.1255240262126</v>
      </c>
      <c r="G14">
        <v>4.2915298850527774</v>
      </c>
      <c r="H14">
        <v>12034.357894841369</v>
      </c>
      <c r="I14">
        <v>11665.508443709974</v>
      </c>
      <c r="J14">
        <v>0.52721492354603927</v>
      </c>
      <c r="K14">
        <v>1.7611565577636178E-2</v>
      </c>
      <c r="L14">
        <v>0.11355262563234507</v>
      </c>
      <c r="M14">
        <v>0.83392768158867692</v>
      </c>
      <c r="N14">
        <v>18.231472415837043</v>
      </c>
      <c r="O14">
        <v>18.549812647499653</v>
      </c>
      <c r="P14">
        <v>3.8608342703845559E-3</v>
      </c>
      <c r="Q14">
        <v>0.16222387227724724</v>
      </c>
      <c r="R14">
        <v>5.2830418452437196E-2</v>
      </c>
      <c r="S14">
        <v>5.3859200224638595E-2</v>
      </c>
      <c r="T14">
        <v>5.0306459091066236</v>
      </c>
      <c r="U14">
        <v>5.264922089519394</v>
      </c>
      <c r="V14" t="s">
        <v>54</v>
      </c>
      <c r="W14" t="s">
        <v>54</v>
      </c>
      <c r="X14">
        <v>1.8347921047559865E-2</v>
      </c>
      <c r="Y14">
        <v>7.1127233174595634</v>
      </c>
      <c r="Z14">
        <v>0.16340390482941861</v>
      </c>
      <c r="AA14" t="s">
        <v>54</v>
      </c>
      <c r="AB14" t="s">
        <v>54</v>
      </c>
      <c r="AC14">
        <v>1.708004209247303E-3</v>
      </c>
      <c r="AD14">
        <v>2.1601701829407641E-2</v>
      </c>
      <c r="AE14">
        <v>1.8104096885114367E-2</v>
      </c>
      <c r="AF14">
        <v>2.684632803145374E-4</v>
      </c>
      <c r="AG14">
        <v>7.1801632939695121</v>
      </c>
      <c r="AH14">
        <v>1.0860678138357683E-2</v>
      </c>
      <c r="AI14">
        <v>2.3314711048074994E-2</v>
      </c>
      <c r="AJ14">
        <v>2.237440778065591E-3</v>
      </c>
      <c r="AK14">
        <v>8.5532039651163468E-3</v>
      </c>
      <c r="AL14">
        <v>1.9334589603609016E-3</v>
      </c>
      <c r="AM14">
        <v>3.4965754625184721E-4</v>
      </c>
      <c r="AN14">
        <v>1.5735459957460745E-3</v>
      </c>
      <c r="AO14">
        <v>1.7363142473110702E-4</v>
      </c>
      <c r="AP14">
        <v>1.0857340155916923E-3</v>
      </c>
      <c r="AQ14">
        <v>1.9651191487003226E-4</v>
      </c>
      <c r="AR14">
        <v>7.5456164383961568E-4</v>
      </c>
      <c r="AS14">
        <v>8.1842296151687775E-5</v>
      </c>
      <c r="AT14">
        <v>3.359072873248244E-4</v>
      </c>
      <c r="AU14">
        <v>7.6427789149634628E-5</v>
      </c>
      <c r="AV14">
        <v>1.2270575309112932E-2</v>
      </c>
      <c r="AW14">
        <v>4.0087320704190153E-2</v>
      </c>
      <c r="AX14" t="s">
        <v>54</v>
      </c>
      <c r="AY14">
        <v>2.2119763998736927E-4</v>
      </c>
      <c r="AZ14">
        <v>0.28435470918050526</v>
      </c>
      <c r="BA14">
        <v>0.26616337476482121</v>
      </c>
      <c r="BB14">
        <v>0.27191376214534763</v>
      </c>
      <c r="BC14">
        <v>9.1572533224156625E-3</v>
      </c>
      <c r="BD14">
        <v>2.1766965751117656E-3</v>
      </c>
    </row>
    <row r="15" spans="1:56" x14ac:dyDescent="0.3">
      <c r="A15" s="15" t="s">
        <v>104</v>
      </c>
      <c r="B15" t="s">
        <v>58</v>
      </c>
      <c r="C15">
        <v>189.61111900104751</v>
      </c>
      <c r="D15">
        <v>197.08829052472973</v>
      </c>
      <c r="E15">
        <v>11.794722970531106</v>
      </c>
      <c r="F15">
        <v>5386.7195163646029</v>
      </c>
      <c r="G15">
        <v>4.7917183660863305</v>
      </c>
      <c r="H15">
        <v>12155.641600435623</v>
      </c>
      <c r="I15">
        <v>11733.375526030102</v>
      </c>
      <c r="J15">
        <v>0.55042157893679056</v>
      </c>
      <c r="K15">
        <v>1.8283300815483242E-2</v>
      </c>
      <c r="L15">
        <v>0.11377331731470934</v>
      </c>
      <c r="M15">
        <v>0.85940814101383811</v>
      </c>
      <c r="N15">
        <v>18.329472646582964</v>
      </c>
      <c r="O15">
        <v>18.688305375482248</v>
      </c>
      <c r="P15">
        <v>3.5113453978636768E-3</v>
      </c>
      <c r="Q15">
        <v>0.14814221394549706</v>
      </c>
      <c r="R15">
        <v>5.4375299528524081E-2</v>
      </c>
      <c r="S15">
        <v>5.7203549222631087E-2</v>
      </c>
      <c r="T15">
        <v>5.001758378448641</v>
      </c>
      <c r="U15">
        <v>5.2078884380464823</v>
      </c>
      <c r="V15" t="s">
        <v>54</v>
      </c>
      <c r="W15" t="s">
        <v>54</v>
      </c>
      <c r="X15">
        <v>1.7744562836517413E-2</v>
      </c>
      <c r="Y15">
        <v>7.0885811311315781</v>
      </c>
      <c r="Z15">
        <v>0.16820513845247401</v>
      </c>
      <c r="AA15" t="s">
        <v>54</v>
      </c>
      <c r="AB15" t="s">
        <v>54</v>
      </c>
      <c r="AC15">
        <v>6.5472725322469796E-4</v>
      </c>
      <c r="AD15">
        <v>1.9232971341710359E-2</v>
      </c>
      <c r="AE15">
        <v>1.9799544172947204E-2</v>
      </c>
      <c r="AF15">
        <v>3.5739448065088284E-4</v>
      </c>
      <c r="AG15">
        <v>7.227214242778448</v>
      </c>
      <c r="AH15">
        <v>1.077408041776767E-2</v>
      </c>
      <c r="AI15">
        <v>2.3206226543324625E-2</v>
      </c>
      <c r="AJ15">
        <v>2.0357032383703701E-3</v>
      </c>
      <c r="AK15">
        <v>8.7987058048550372E-3</v>
      </c>
      <c r="AL15">
        <v>1.7227223467499914E-3</v>
      </c>
      <c r="AM15">
        <v>5.5958957207961099E-4</v>
      </c>
      <c r="AN15">
        <v>1.369881721136981E-3</v>
      </c>
      <c r="AO15">
        <v>2.5351032574622478E-4</v>
      </c>
      <c r="AP15">
        <v>1.297688928136444E-3</v>
      </c>
      <c r="AQ15">
        <v>2.2650452691815243E-4</v>
      </c>
      <c r="AR15">
        <v>4.9999606211050234E-4</v>
      </c>
      <c r="AS15">
        <v>8.2587037298160004E-5</v>
      </c>
      <c r="AT15">
        <v>4.7077459066163769E-4</v>
      </c>
      <c r="AU15" t="s">
        <v>54</v>
      </c>
      <c r="AV15">
        <v>6.8278975988853019E-3</v>
      </c>
      <c r="AW15" t="s">
        <v>54</v>
      </c>
      <c r="AX15" t="s">
        <v>54</v>
      </c>
      <c r="AY15">
        <v>1.6842972181011539E-4</v>
      </c>
      <c r="AZ15">
        <v>0.28561241157669948</v>
      </c>
      <c r="BA15">
        <v>0.26499598128058999</v>
      </c>
      <c r="BB15">
        <v>0.27186531272897568</v>
      </c>
      <c r="BC15">
        <v>4.3512581853764783E-3</v>
      </c>
      <c r="BD15">
        <v>2.4654889517561132E-3</v>
      </c>
    </row>
    <row r="16" spans="1:56" x14ac:dyDescent="0.3">
      <c r="A16" s="15" t="s">
        <v>104</v>
      </c>
      <c r="B16" t="s">
        <v>58</v>
      </c>
      <c r="C16">
        <v>188.90757619926359</v>
      </c>
      <c r="D16">
        <v>197.76559756101477</v>
      </c>
      <c r="E16">
        <v>11.846111782714258</v>
      </c>
      <c r="F16">
        <v>5377.3524516330253</v>
      </c>
      <c r="G16">
        <v>5.1562758796176693</v>
      </c>
      <c r="H16">
        <v>12153.269581265207</v>
      </c>
      <c r="I16">
        <v>11767.085538773294</v>
      </c>
      <c r="J16">
        <v>0.54529561157850981</v>
      </c>
      <c r="K16">
        <v>1.7549546184781412E-2</v>
      </c>
      <c r="L16">
        <v>0.11017103095635515</v>
      </c>
      <c r="M16">
        <v>0.80005891589526001</v>
      </c>
      <c r="N16">
        <v>18.572757446194302</v>
      </c>
      <c r="O16">
        <v>19.024868163570524</v>
      </c>
      <c r="P16">
        <v>3.6520908909332813E-3</v>
      </c>
      <c r="Q16">
        <v>0.16170730495385824</v>
      </c>
      <c r="R16">
        <v>5.8132545076056266E-2</v>
      </c>
      <c r="S16">
        <v>5.6266237673048149E-2</v>
      </c>
      <c r="T16">
        <v>5.0477893533463831</v>
      </c>
      <c r="U16">
        <v>5.2221756751520241</v>
      </c>
      <c r="V16">
        <v>2.8616243669549488E-2</v>
      </c>
      <c r="W16" t="s">
        <v>54</v>
      </c>
      <c r="X16">
        <v>1.7483026709977176E-2</v>
      </c>
      <c r="Y16">
        <v>7.2178946651553844</v>
      </c>
      <c r="Z16">
        <v>0.17681411276979367</v>
      </c>
      <c r="AA16" t="s">
        <v>54</v>
      </c>
      <c r="AB16" t="s">
        <v>54</v>
      </c>
      <c r="AC16">
        <v>8.096192706418951E-4</v>
      </c>
      <c r="AD16">
        <v>1.9338261275654835E-2</v>
      </c>
      <c r="AE16">
        <v>1.8755485391548074E-2</v>
      </c>
      <c r="AF16">
        <v>3.741909237133133E-4</v>
      </c>
      <c r="AG16">
        <v>7.1803429132355614</v>
      </c>
      <c r="AH16">
        <v>1.0943583887812592E-2</v>
      </c>
      <c r="AI16">
        <v>2.2820583309558315E-2</v>
      </c>
      <c r="AJ16">
        <v>2.1434313499939855E-3</v>
      </c>
      <c r="AK16">
        <v>8.0699147414062655E-3</v>
      </c>
      <c r="AL16">
        <v>1.2597027011429581E-3</v>
      </c>
      <c r="AM16">
        <v>4.3951398464282695E-4</v>
      </c>
      <c r="AN16">
        <v>1.5610455028706074E-3</v>
      </c>
      <c r="AO16">
        <v>2.6864312745322695E-4</v>
      </c>
      <c r="AP16">
        <v>1.10372798444586E-3</v>
      </c>
      <c r="AQ16">
        <v>1.9668247599336666E-4</v>
      </c>
      <c r="AR16">
        <v>5.9925712323072951E-4</v>
      </c>
      <c r="AS16">
        <v>1.1484013782324532E-4</v>
      </c>
      <c r="AT16">
        <v>4.0322584920630673E-4</v>
      </c>
      <c r="AU16">
        <v>7.9675421949171457E-5</v>
      </c>
      <c r="AV16">
        <v>4.2536542499724984E-3</v>
      </c>
      <c r="AW16" t="s">
        <v>54</v>
      </c>
      <c r="AX16" t="s">
        <v>54</v>
      </c>
      <c r="AY16">
        <v>1.626655275199668E-4</v>
      </c>
      <c r="AZ16">
        <v>0.28542335655682366</v>
      </c>
      <c r="BA16">
        <v>0.26381001197770104</v>
      </c>
      <c r="BB16">
        <v>0.27187630872101393</v>
      </c>
      <c r="BC16">
        <v>2.7238396481070754E-3</v>
      </c>
      <c r="BD16">
        <v>2.7018574257248367E-3</v>
      </c>
    </row>
    <row r="17" spans="1:57" x14ac:dyDescent="0.3">
      <c r="A17" s="15" t="s">
        <v>105</v>
      </c>
      <c r="B17" t="s">
        <v>58</v>
      </c>
      <c r="C17">
        <v>204.55226982357573</v>
      </c>
      <c r="D17">
        <v>207.42006388990509</v>
      </c>
      <c r="E17">
        <v>12.23750712117098</v>
      </c>
      <c r="F17">
        <v>5708.0742793357795</v>
      </c>
      <c r="G17">
        <v>5.5681642282448438</v>
      </c>
      <c r="H17">
        <v>12768.208107069289</v>
      </c>
      <c r="I17">
        <v>12243.280539330603</v>
      </c>
      <c r="J17">
        <v>0.59738321390423865</v>
      </c>
      <c r="K17">
        <v>2.1658833088986636E-2</v>
      </c>
      <c r="L17">
        <v>0.10886479102481089</v>
      </c>
      <c r="M17">
        <v>0.73430864633302895</v>
      </c>
      <c r="N17">
        <v>19.358210008731575</v>
      </c>
      <c r="O17">
        <v>19.707350207982344</v>
      </c>
      <c r="P17">
        <v>5.6676182918075054E-3</v>
      </c>
      <c r="Q17" t="s">
        <v>54</v>
      </c>
      <c r="R17">
        <v>5.3561405465463563E-2</v>
      </c>
      <c r="S17">
        <v>5.6924442790906776E-2</v>
      </c>
      <c r="T17">
        <v>5.1825356868078547</v>
      </c>
      <c r="U17">
        <v>5.3391537556111377</v>
      </c>
      <c r="V17" t="s">
        <v>56</v>
      </c>
      <c r="W17" t="s">
        <v>54</v>
      </c>
      <c r="X17">
        <v>2.0078049365457085E-2</v>
      </c>
      <c r="Y17">
        <v>7.4491244252692477</v>
      </c>
      <c r="Z17">
        <v>0.15171094078349806</v>
      </c>
      <c r="AA17">
        <v>0.11403335386929925</v>
      </c>
      <c r="AB17">
        <v>0.11136785547702702</v>
      </c>
      <c r="AC17" t="s">
        <v>54</v>
      </c>
      <c r="AD17">
        <v>4.9974010026982388E-2</v>
      </c>
      <c r="AE17">
        <v>2.0572055780286237E-2</v>
      </c>
      <c r="AF17">
        <v>3.5982753860383927E-4</v>
      </c>
      <c r="AG17">
        <v>7.5467102499378038</v>
      </c>
      <c r="AH17">
        <v>1.1515975597773556E-2</v>
      </c>
      <c r="AI17">
        <v>2.4502793064226369E-2</v>
      </c>
      <c r="AJ17">
        <v>2.2443899404656917E-3</v>
      </c>
      <c r="AK17">
        <v>9.5689539572372806E-3</v>
      </c>
      <c r="AL17">
        <v>1.2795855226624866E-3</v>
      </c>
      <c r="AM17">
        <v>5.2841673390032764E-4</v>
      </c>
      <c r="AN17">
        <v>1.6603108673085443E-3</v>
      </c>
      <c r="AO17" t="s">
        <v>56</v>
      </c>
      <c r="AP17">
        <v>1.4816043626890893E-3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>
        <v>8.0405714422679991E-2</v>
      </c>
      <c r="AW17">
        <v>0.28800013935472846</v>
      </c>
      <c r="AX17" t="s">
        <v>54</v>
      </c>
      <c r="AY17" t="s">
        <v>56</v>
      </c>
      <c r="AZ17">
        <v>0.33478145444651847</v>
      </c>
      <c r="BA17">
        <v>0.31042746985302028</v>
      </c>
      <c r="BB17">
        <v>0.30412035616544891</v>
      </c>
      <c r="BC17">
        <v>6.737924661749993E-2</v>
      </c>
      <c r="BD17">
        <v>2.2533570935546576E-3</v>
      </c>
    </row>
    <row r="18" spans="1:57" x14ac:dyDescent="0.3">
      <c r="A18" s="15" t="s">
        <v>105</v>
      </c>
      <c r="B18" t="s">
        <v>58</v>
      </c>
      <c r="C18">
        <v>215.03992156293961</v>
      </c>
      <c r="D18">
        <v>207.18812902848506</v>
      </c>
      <c r="E18">
        <v>12.843347154536202</v>
      </c>
      <c r="F18">
        <v>5611.5052595815741</v>
      </c>
      <c r="G18">
        <v>6.5210099827191819</v>
      </c>
      <c r="H18">
        <v>12805.016260391516</v>
      </c>
      <c r="I18">
        <v>12246.806086000915</v>
      </c>
      <c r="J18">
        <v>0.61943647152432812</v>
      </c>
      <c r="K18">
        <v>1.681848619088732E-2</v>
      </c>
      <c r="L18">
        <v>0.11303216600511742</v>
      </c>
      <c r="M18">
        <v>0.82067103330399094</v>
      </c>
      <c r="N18">
        <v>19.299179747827878</v>
      </c>
      <c r="O18">
        <v>19.203080056561785</v>
      </c>
      <c r="P18" t="s">
        <v>56</v>
      </c>
      <c r="Q18" t="s">
        <v>54</v>
      </c>
      <c r="R18">
        <v>5.1396340799050998E-2</v>
      </c>
      <c r="S18">
        <v>4.9975451324823408E-2</v>
      </c>
      <c r="T18">
        <v>5.0679635017147859</v>
      </c>
      <c r="U18">
        <v>5.2841297101863738</v>
      </c>
      <c r="V18" t="s">
        <v>56</v>
      </c>
      <c r="W18" t="s">
        <v>56</v>
      </c>
      <c r="X18">
        <v>1.9564849886888197E-2</v>
      </c>
      <c r="Y18">
        <v>7.4777649092141703</v>
      </c>
      <c r="Z18">
        <v>0.12586080246737869</v>
      </c>
      <c r="AA18" t="s">
        <v>54</v>
      </c>
      <c r="AB18" t="s">
        <v>54</v>
      </c>
      <c r="AC18" t="s">
        <v>54</v>
      </c>
      <c r="AD18" t="s">
        <v>56</v>
      </c>
      <c r="AE18">
        <v>1.8830240244398957E-2</v>
      </c>
      <c r="AF18">
        <v>3.7299201756577701E-4</v>
      </c>
      <c r="AG18">
        <v>7.5790073054948461</v>
      </c>
      <c r="AH18">
        <v>1.1927191759041481E-2</v>
      </c>
      <c r="AI18">
        <v>2.4249943358208934E-2</v>
      </c>
      <c r="AJ18">
        <v>2.2904844456470047E-3</v>
      </c>
      <c r="AK18">
        <v>8.50998639450554E-3</v>
      </c>
      <c r="AL18">
        <v>1.7207013110866229E-3</v>
      </c>
      <c r="AM18">
        <v>5.1801793897402718E-4</v>
      </c>
      <c r="AN18">
        <v>1.6681318561278323E-3</v>
      </c>
      <c r="AO18">
        <v>2.7992283829468361E-4</v>
      </c>
      <c r="AP18">
        <v>1.2024013692182715E-3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54</v>
      </c>
      <c r="AY18" t="s">
        <v>54</v>
      </c>
      <c r="AZ18">
        <v>0.33501326629017164</v>
      </c>
      <c r="BA18">
        <v>0.30678748579320447</v>
      </c>
      <c r="BB18">
        <v>0.30211668197358982</v>
      </c>
      <c r="BC18" t="s">
        <v>56</v>
      </c>
      <c r="BD18">
        <v>2.4588670177629343E-3</v>
      </c>
    </row>
    <row r="19" spans="1:57" x14ac:dyDescent="0.3">
      <c r="A19" s="15" t="s">
        <v>106</v>
      </c>
      <c r="B19" t="s">
        <v>58</v>
      </c>
      <c r="C19">
        <v>211.5827430549447</v>
      </c>
      <c r="D19">
        <v>210.80931462338336</v>
      </c>
      <c r="E19">
        <v>13.530259414934875</v>
      </c>
      <c r="F19">
        <v>5806.4419702707537</v>
      </c>
      <c r="G19" t="s">
        <v>54</v>
      </c>
      <c r="H19">
        <v>12808.833150777844</v>
      </c>
      <c r="I19">
        <v>12293.378478347135</v>
      </c>
      <c r="J19">
        <v>0.84431031800028233</v>
      </c>
      <c r="K19">
        <v>2.2880430295897203E-2</v>
      </c>
      <c r="L19">
        <v>0.15087920204917396</v>
      </c>
      <c r="M19">
        <v>0.79287685642783456</v>
      </c>
      <c r="N19">
        <v>20.329771381205731</v>
      </c>
      <c r="O19">
        <v>21.06283943214941</v>
      </c>
      <c r="P19" t="s">
        <v>56</v>
      </c>
      <c r="Q19">
        <v>0.17551033873250782</v>
      </c>
      <c r="R19">
        <v>6.8761636269964607E-2</v>
      </c>
      <c r="S19">
        <v>7.4013522886347105E-2</v>
      </c>
      <c r="T19">
        <v>5.4086539366862798</v>
      </c>
      <c r="U19">
        <v>5.6038268262261424</v>
      </c>
      <c r="V19" t="s">
        <v>56</v>
      </c>
      <c r="W19" t="s">
        <v>54</v>
      </c>
      <c r="X19">
        <v>2.2491117119101841E-2</v>
      </c>
      <c r="Y19">
        <v>7.5155071040039623</v>
      </c>
      <c r="Z19">
        <v>0.44455530348097438</v>
      </c>
      <c r="AA19">
        <v>7.0528297280643706E-2</v>
      </c>
      <c r="AB19" t="s">
        <v>56</v>
      </c>
      <c r="AC19" t="s">
        <v>54</v>
      </c>
      <c r="AD19" t="s">
        <v>56</v>
      </c>
      <c r="AE19" t="s">
        <v>54</v>
      </c>
      <c r="AF19">
        <v>4.4031648405588007E-4</v>
      </c>
      <c r="AG19">
        <v>7.6127809474265211</v>
      </c>
      <c r="AH19">
        <v>1.277472713720894E-2</v>
      </c>
      <c r="AI19">
        <v>2.6563049296736852E-2</v>
      </c>
      <c r="AJ19">
        <v>2.6370505419209432E-3</v>
      </c>
      <c r="AK19">
        <v>9.5798966026490132E-3</v>
      </c>
      <c r="AL19">
        <v>1.6667117695974109E-3</v>
      </c>
      <c r="AM19">
        <v>5.1378220436286361E-4</v>
      </c>
      <c r="AN19">
        <v>1.7368826691176165E-3</v>
      </c>
      <c r="AO19" t="s">
        <v>56</v>
      </c>
      <c r="AP19">
        <v>1.4991656496285714E-3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>
        <v>0.3144372716036547</v>
      </c>
      <c r="AW19">
        <v>0.46228161267783568</v>
      </c>
      <c r="AX19" t="s">
        <v>54</v>
      </c>
      <c r="AY19" t="s">
        <v>54</v>
      </c>
      <c r="AZ19">
        <v>0.32427406531584352</v>
      </c>
      <c r="BA19">
        <v>0.30012670875365427</v>
      </c>
      <c r="BB19">
        <v>0.31224192553513846</v>
      </c>
      <c r="BC19">
        <v>0.33469457482903497</v>
      </c>
      <c r="BD19" t="s">
        <v>56</v>
      </c>
    </row>
    <row r="20" spans="1:57" x14ac:dyDescent="0.3">
      <c r="A20" s="15" t="s">
        <v>106</v>
      </c>
      <c r="B20" t="s">
        <v>58</v>
      </c>
      <c r="C20">
        <v>209.51078946933643</v>
      </c>
      <c r="D20">
        <v>206.52939870852558</v>
      </c>
      <c r="E20">
        <v>13.353231488020235</v>
      </c>
      <c r="F20">
        <v>5581.5405769424124</v>
      </c>
      <c r="G20" t="s">
        <v>54</v>
      </c>
      <c r="H20">
        <v>12563.518022435943</v>
      </c>
      <c r="I20">
        <v>12024.812924518386</v>
      </c>
      <c r="J20">
        <v>0.84109950659588961</v>
      </c>
      <c r="K20">
        <v>2.5129076747130649E-2</v>
      </c>
      <c r="L20">
        <v>0.15050974933284858</v>
      </c>
      <c r="M20">
        <v>0.78520853967975079</v>
      </c>
      <c r="N20">
        <v>20.047003806219379</v>
      </c>
      <c r="O20">
        <v>20.306790844327278</v>
      </c>
      <c r="P20" t="s">
        <v>54</v>
      </c>
      <c r="Q20">
        <v>0.16869607080762383</v>
      </c>
      <c r="R20">
        <v>6.1654998978859336E-2</v>
      </c>
      <c r="S20">
        <v>7.1057812605517273E-2</v>
      </c>
      <c r="T20">
        <v>5.3260899603777698</v>
      </c>
      <c r="U20">
        <v>5.5551815240872369</v>
      </c>
      <c r="V20" t="s">
        <v>54</v>
      </c>
      <c r="W20" t="s">
        <v>54</v>
      </c>
      <c r="X20" t="s">
        <v>56</v>
      </c>
      <c r="Y20">
        <v>6.7855066959299171</v>
      </c>
      <c r="Z20">
        <v>0.32307789006956089</v>
      </c>
      <c r="AA20" t="s">
        <v>56</v>
      </c>
      <c r="AB20" t="s">
        <v>56</v>
      </c>
      <c r="AC20" t="s">
        <v>56</v>
      </c>
      <c r="AD20" t="s">
        <v>54</v>
      </c>
      <c r="AE20" t="s">
        <v>54</v>
      </c>
      <c r="AF20">
        <v>5.8259594182062668E-4</v>
      </c>
      <c r="AG20">
        <v>7.4702381306980223</v>
      </c>
      <c r="AH20">
        <v>1.2788046089001449E-2</v>
      </c>
      <c r="AI20">
        <v>2.5949303806187252E-2</v>
      </c>
      <c r="AJ20">
        <v>2.4843024558236027E-3</v>
      </c>
      <c r="AK20">
        <v>9.9608793292946252E-3</v>
      </c>
      <c r="AL20">
        <v>1.9415486030651087E-3</v>
      </c>
      <c r="AM20">
        <v>5.2440301963208383E-4</v>
      </c>
      <c r="AN20">
        <v>1.7203453993440607E-3</v>
      </c>
      <c r="AO20" t="s">
        <v>56</v>
      </c>
      <c r="AP20">
        <v>1.3346956243156514E-3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>
        <v>0.13603935634737294</v>
      </c>
      <c r="AW20">
        <v>0.31767941133354882</v>
      </c>
      <c r="AX20" t="s">
        <v>54</v>
      </c>
      <c r="AY20" t="s">
        <v>54</v>
      </c>
      <c r="AZ20">
        <v>0.31728002604593525</v>
      </c>
      <c r="BA20">
        <v>0.2994708456726643</v>
      </c>
      <c r="BB20">
        <v>0.30780061631754524</v>
      </c>
      <c r="BC20" t="s">
        <v>56</v>
      </c>
      <c r="BD20" t="s">
        <v>56</v>
      </c>
    </row>
    <row r="21" spans="1:57" x14ac:dyDescent="0.3">
      <c r="A21" s="15" t="s">
        <v>107</v>
      </c>
      <c r="B21" t="s">
        <v>58</v>
      </c>
      <c r="C21">
        <v>192.99675622692689</v>
      </c>
      <c r="D21">
        <v>210.02793411063678</v>
      </c>
      <c r="E21">
        <v>18.715540889230265</v>
      </c>
      <c r="F21">
        <v>5211.7767709382042</v>
      </c>
      <c r="G21">
        <v>8.5181094993586832</v>
      </c>
      <c r="H21">
        <v>12110.565012132403</v>
      </c>
      <c r="I21">
        <v>11930.773382450558</v>
      </c>
      <c r="J21">
        <v>1.2179612665325894</v>
      </c>
      <c r="K21">
        <v>2.6961181082507377E-2</v>
      </c>
      <c r="L21">
        <v>0.18294095646094874</v>
      </c>
      <c r="M21">
        <v>1.1017593112017285</v>
      </c>
      <c r="N21">
        <v>20.826341742857526</v>
      </c>
      <c r="O21">
        <v>21.180862821537414</v>
      </c>
      <c r="P21" t="s">
        <v>54</v>
      </c>
      <c r="Q21">
        <v>0.19501917630435942</v>
      </c>
      <c r="R21">
        <v>7.5942033433683651E-2</v>
      </c>
      <c r="S21">
        <v>7.7573535116507289E-2</v>
      </c>
      <c r="T21">
        <v>4.9883861665198665</v>
      </c>
      <c r="U21">
        <v>5.2168723822620775</v>
      </c>
      <c r="V21" t="s">
        <v>56</v>
      </c>
      <c r="W21" t="s">
        <v>54</v>
      </c>
      <c r="X21">
        <v>3.2079938960972526E-2</v>
      </c>
      <c r="Y21">
        <v>7.2406921292444064</v>
      </c>
      <c r="Z21">
        <v>0.19179382220016289</v>
      </c>
      <c r="AA21">
        <v>0.13000446545086958</v>
      </c>
      <c r="AB21">
        <v>0.13078475400743403</v>
      </c>
      <c r="AC21" t="s">
        <v>56</v>
      </c>
      <c r="AD21" t="s">
        <v>54</v>
      </c>
      <c r="AE21">
        <v>1.9045707009689192E-2</v>
      </c>
      <c r="AF21">
        <v>5.6774021081741621E-4</v>
      </c>
      <c r="AG21">
        <v>6.9118568500089976</v>
      </c>
      <c r="AH21">
        <v>1.3863834596244762E-2</v>
      </c>
      <c r="AI21">
        <v>3.0102918467079767E-2</v>
      </c>
      <c r="AJ21">
        <v>2.9747425656228015E-3</v>
      </c>
      <c r="AK21">
        <v>1.1641659171817564E-2</v>
      </c>
      <c r="AL21">
        <v>2.273437790877803E-3</v>
      </c>
      <c r="AM21" t="s">
        <v>56</v>
      </c>
      <c r="AN21">
        <v>2.054176805504771E-3</v>
      </c>
      <c r="AO21" t="s">
        <v>54</v>
      </c>
      <c r="AP21">
        <v>1.423524795559296E-3</v>
      </c>
      <c r="AQ21" t="s">
        <v>54</v>
      </c>
      <c r="AR21" t="s">
        <v>56</v>
      </c>
      <c r="AS21">
        <v>1.4826302478196816E-4</v>
      </c>
      <c r="AT21" t="s">
        <v>56</v>
      </c>
      <c r="AU21" t="s">
        <v>56</v>
      </c>
      <c r="AV21">
        <v>7.8049476706656476E-2</v>
      </c>
      <c r="AW21">
        <v>1.2377688903715074</v>
      </c>
      <c r="AX21" t="s">
        <v>54</v>
      </c>
      <c r="AY21" t="s">
        <v>54</v>
      </c>
      <c r="AZ21" t="s">
        <v>54</v>
      </c>
      <c r="BA21" t="s">
        <v>54</v>
      </c>
      <c r="BB21" t="s">
        <v>54</v>
      </c>
      <c r="BC21">
        <v>7.1264446470146084E-2</v>
      </c>
      <c r="BD21" t="s">
        <v>56</v>
      </c>
    </row>
    <row r="22" spans="1:57" x14ac:dyDescent="0.3">
      <c r="A22" s="15" t="s">
        <v>107</v>
      </c>
      <c r="B22" t="s">
        <v>58</v>
      </c>
      <c r="C22">
        <v>191.43599780496342</v>
      </c>
      <c r="D22">
        <v>206.43521607966849</v>
      </c>
      <c r="E22">
        <v>18.538143744214015</v>
      </c>
      <c r="F22">
        <v>5151.9433569795965</v>
      </c>
      <c r="G22">
        <v>8.7077695506314772</v>
      </c>
      <c r="H22">
        <v>11887.801094689421</v>
      </c>
      <c r="I22">
        <v>11945.154146665345</v>
      </c>
      <c r="J22">
        <v>1.106934242763518</v>
      </c>
      <c r="K22">
        <v>2.4666838868305816E-2</v>
      </c>
      <c r="L22">
        <v>0.18129237411587412</v>
      </c>
      <c r="M22">
        <v>1.299415246881406</v>
      </c>
      <c r="N22">
        <v>20.663665667832475</v>
      </c>
      <c r="O22">
        <v>21.327888778589358</v>
      </c>
      <c r="P22" t="s">
        <v>54</v>
      </c>
      <c r="Q22">
        <v>0.18487198831226812</v>
      </c>
      <c r="R22">
        <v>7.4061301961472648E-2</v>
      </c>
      <c r="S22">
        <v>7.3724329900386423E-2</v>
      </c>
      <c r="T22">
        <v>5.0115898035023489</v>
      </c>
      <c r="U22">
        <v>5.1795359469791666</v>
      </c>
      <c r="V22" t="s">
        <v>56</v>
      </c>
      <c r="W22" t="s">
        <v>54</v>
      </c>
      <c r="X22">
        <v>3.02690049937136E-2</v>
      </c>
      <c r="Y22">
        <v>7.2383878241206219</v>
      </c>
      <c r="Z22">
        <v>0.18652404732554381</v>
      </c>
      <c r="AA22">
        <v>0.1083230485337789</v>
      </c>
      <c r="AB22">
        <v>0.10170667851987648</v>
      </c>
      <c r="AC22" t="s">
        <v>56</v>
      </c>
      <c r="AD22" t="s">
        <v>54</v>
      </c>
      <c r="AE22">
        <v>1.844180891553774E-2</v>
      </c>
      <c r="AF22">
        <v>5.2367921970096173E-4</v>
      </c>
      <c r="AG22">
        <v>6.7661744908054686</v>
      </c>
      <c r="AH22">
        <v>1.3877343049083437E-2</v>
      </c>
      <c r="AI22">
        <v>2.8855192119172979E-2</v>
      </c>
      <c r="AJ22">
        <v>2.7832008128091342E-3</v>
      </c>
      <c r="AK22">
        <v>1.2422844097961697E-2</v>
      </c>
      <c r="AL22">
        <v>1.9882789953800375E-3</v>
      </c>
      <c r="AM22" t="s">
        <v>56</v>
      </c>
      <c r="AN22">
        <v>2.2930878017661245E-3</v>
      </c>
      <c r="AO22" t="s">
        <v>54</v>
      </c>
      <c r="AP22">
        <v>1.5467544549850843E-3</v>
      </c>
      <c r="AQ22" t="s">
        <v>54</v>
      </c>
      <c r="AR22" t="s">
        <v>56</v>
      </c>
      <c r="AS22">
        <v>1.4604021756525762E-4</v>
      </c>
      <c r="AT22" t="s">
        <v>56</v>
      </c>
      <c r="AU22" t="s">
        <v>56</v>
      </c>
      <c r="AV22">
        <v>5.8591312961745537E-2</v>
      </c>
      <c r="AW22">
        <v>1.1193906530199897</v>
      </c>
      <c r="AX22" t="s">
        <v>54</v>
      </c>
      <c r="AY22" t="s">
        <v>54</v>
      </c>
      <c r="AZ22" t="s">
        <v>54</v>
      </c>
      <c r="BA22" t="s">
        <v>54</v>
      </c>
      <c r="BB22" t="s">
        <v>54</v>
      </c>
      <c r="BC22">
        <v>4.7703121429576535E-2</v>
      </c>
      <c r="BD22" t="s">
        <v>56</v>
      </c>
    </row>
    <row r="23" spans="1:57" x14ac:dyDescent="0.3">
      <c r="A23" s="15" t="s">
        <v>107</v>
      </c>
      <c r="B23" t="s">
        <v>58</v>
      </c>
      <c r="C23">
        <v>189.56712886131862</v>
      </c>
      <c r="D23">
        <v>206.44107360934592</v>
      </c>
      <c r="E23">
        <v>18.866059476245436</v>
      </c>
      <c r="F23">
        <v>5179.5868808423756</v>
      </c>
      <c r="G23">
        <v>10.342746005381761</v>
      </c>
      <c r="H23">
        <v>12010.136211618523</v>
      </c>
      <c r="I23">
        <v>11938.044949218818</v>
      </c>
      <c r="J23">
        <v>1.0201139974998392</v>
      </c>
      <c r="K23">
        <v>2.6496079174120654E-2</v>
      </c>
      <c r="L23">
        <v>0.18543102687369958</v>
      </c>
      <c r="M23">
        <v>1.4067359143004539</v>
      </c>
      <c r="N23">
        <v>20.856461657089206</v>
      </c>
      <c r="O23">
        <v>20.908006758764863</v>
      </c>
      <c r="P23" t="s">
        <v>54</v>
      </c>
      <c r="Q23">
        <v>0.17411356798475389</v>
      </c>
      <c r="R23">
        <v>7.6437659486455131E-2</v>
      </c>
      <c r="S23">
        <v>7.2474256370445883E-2</v>
      </c>
      <c r="T23">
        <v>4.9374615627769272</v>
      </c>
      <c r="U23">
        <v>5.1250950894180134</v>
      </c>
      <c r="V23" t="s">
        <v>54</v>
      </c>
      <c r="W23" t="s">
        <v>54</v>
      </c>
      <c r="X23">
        <v>3.3086602620889347E-2</v>
      </c>
      <c r="Y23">
        <v>7.1333299682374536</v>
      </c>
      <c r="Z23">
        <v>0.15482316230532422</v>
      </c>
      <c r="AA23">
        <v>0.10286027570294573</v>
      </c>
      <c r="AB23">
        <v>0.10039102321724692</v>
      </c>
      <c r="AC23" t="s">
        <v>56</v>
      </c>
      <c r="AD23" t="s">
        <v>54</v>
      </c>
      <c r="AE23">
        <v>1.8821189082019078E-2</v>
      </c>
      <c r="AF23">
        <v>5.8673395083766314E-4</v>
      </c>
      <c r="AG23">
        <v>6.7125770453735178</v>
      </c>
      <c r="AH23">
        <v>1.4129403756074467E-2</v>
      </c>
      <c r="AI23">
        <v>2.9468175381864792E-2</v>
      </c>
      <c r="AJ23">
        <v>2.9393470718061597E-3</v>
      </c>
      <c r="AK23">
        <v>1.1916178846858656E-2</v>
      </c>
      <c r="AL23">
        <v>2.3007262022309554E-3</v>
      </c>
      <c r="AM23" t="s">
        <v>56</v>
      </c>
      <c r="AN23">
        <v>1.9591102422842309E-3</v>
      </c>
      <c r="AO23" t="s">
        <v>54</v>
      </c>
      <c r="AP23">
        <v>1.8087730557705102E-3</v>
      </c>
      <c r="AQ23" t="s">
        <v>54</v>
      </c>
      <c r="AR23">
        <v>1.0412461008551532E-3</v>
      </c>
      <c r="AS23" t="s">
        <v>56</v>
      </c>
      <c r="AT23" t="s">
        <v>56</v>
      </c>
      <c r="AU23" t="s">
        <v>56</v>
      </c>
      <c r="AV23">
        <v>4.9772799004443209E-2</v>
      </c>
      <c r="AW23">
        <v>1.0819521801134422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>
        <v>4.0542118695913412E-2</v>
      </c>
      <c r="BD23" t="s">
        <v>56</v>
      </c>
    </row>
    <row r="24" spans="1:57" s="1" customFormat="1" x14ac:dyDescent="0.3">
      <c r="A24" s="1" t="s">
        <v>108</v>
      </c>
      <c r="B24" t="s">
        <v>58</v>
      </c>
      <c r="C24" s="1">
        <v>241.58175874279286</v>
      </c>
      <c r="D24" s="1">
        <v>242.37934030989203</v>
      </c>
      <c r="E24" s="1">
        <v>10.533939612477621</v>
      </c>
      <c r="F24" s="1">
        <v>6752.0947431422328</v>
      </c>
      <c r="G24" s="1" t="s">
        <v>56</v>
      </c>
      <c r="H24" s="1">
        <v>14469.857653055975</v>
      </c>
      <c r="I24" s="1">
        <v>13940.196749680785</v>
      </c>
      <c r="J24" s="1">
        <v>1.7687709776432778</v>
      </c>
      <c r="K24" s="1">
        <v>2.1440706579989109E-2</v>
      </c>
      <c r="L24" s="1">
        <v>5.1611914685936511E-2</v>
      </c>
      <c r="M24" s="1">
        <v>0.51067473184353973</v>
      </c>
      <c r="N24" s="1">
        <v>13.194119477036915</v>
      </c>
      <c r="O24" s="1">
        <v>13.185131751146747</v>
      </c>
      <c r="P24" s="1" t="s">
        <v>56</v>
      </c>
      <c r="Q24" s="1">
        <v>9.9635466035037437E-2</v>
      </c>
      <c r="R24" s="1">
        <v>8.28850961683191E-2</v>
      </c>
      <c r="S24" s="1">
        <v>8.2009552171437072E-2</v>
      </c>
      <c r="T24" s="1">
        <v>6.0577219125764161</v>
      </c>
      <c r="U24" s="1">
        <v>6.278468952609261</v>
      </c>
      <c r="V24" s="1" t="s">
        <v>54</v>
      </c>
      <c r="W24" s="1" t="s">
        <v>54</v>
      </c>
      <c r="X24" s="1">
        <v>2.353728195307914E-2</v>
      </c>
      <c r="Y24" s="1">
        <v>8.2598309561045031</v>
      </c>
      <c r="Z24" s="1">
        <v>0.66928014444247474</v>
      </c>
      <c r="AA24" s="1" t="s">
        <v>54</v>
      </c>
      <c r="AB24" s="1" t="s">
        <v>54</v>
      </c>
      <c r="AC24" s="1" t="s">
        <v>54</v>
      </c>
      <c r="AD24" s="1">
        <v>0.18824648789411277</v>
      </c>
      <c r="AE24" s="1" t="s">
        <v>54</v>
      </c>
      <c r="AG24" s="1">
        <v>8.4529586243389598</v>
      </c>
      <c r="AH24" s="1">
        <v>1.3322529425004915E-2</v>
      </c>
      <c r="AI24" s="1">
        <v>3.765829863168093E-2</v>
      </c>
      <c r="AJ24" s="1">
        <v>2.6758131805143114E-3</v>
      </c>
      <c r="AK24" s="1">
        <v>9.1873134675108555E-3</v>
      </c>
      <c r="AL24" s="1">
        <v>1.8998219039837103E-3</v>
      </c>
      <c r="AM24" s="1" t="s">
        <v>56</v>
      </c>
      <c r="AN24" s="1">
        <v>1.765727112485364E-3</v>
      </c>
      <c r="AO24" s="1" t="s">
        <v>54</v>
      </c>
      <c r="AP24" s="1" t="s">
        <v>56</v>
      </c>
      <c r="AQ24" s="1" t="s">
        <v>56</v>
      </c>
      <c r="AR24" s="1" t="s">
        <v>56</v>
      </c>
      <c r="AS24" s="1" t="s">
        <v>54</v>
      </c>
      <c r="AT24" s="1" t="s">
        <v>56</v>
      </c>
      <c r="AU24" s="1" t="s">
        <v>54</v>
      </c>
      <c r="AV24" s="1">
        <v>0.83082889781784597</v>
      </c>
      <c r="AW24" s="1">
        <v>0.24373478685807987</v>
      </c>
      <c r="AX24" s="1">
        <v>2.8651229898042749E-4</v>
      </c>
      <c r="AY24" s="1" t="s">
        <v>54</v>
      </c>
      <c r="AZ24">
        <v>0.32515337269916522</v>
      </c>
      <c r="BA24" s="1">
        <v>0.3008872441806385</v>
      </c>
      <c r="BB24" s="1">
        <v>0.31240686975362814</v>
      </c>
      <c r="BC24" s="1" t="s">
        <v>56</v>
      </c>
      <c r="BD24" s="1" t="s">
        <v>54</v>
      </c>
    </row>
    <row r="25" spans="1:57" s="1" customFormat="1" x14ac:dyDescent="0.3">
      <c r="A25" s="1" t="s">
        <v>108</v>
      </c>
      <c r="B25" t="s">
        <v>58</v>
      </c>
      <c r="C25" s="1">
        <v>241.82215832425754</v>
      </c>
      <c r="D25" s="1">
        <v>239.75068619184168</v>
      </c>
      <c r="E25" s="1">
        <v>9.7500871711552453</v>
      </c>
      <c r="F25" s="1">
        <v>6604.5425874281709</v>
      </c>
      <c r="G25" s="1" t="s">
        <v>56</v>
      </c>
      <c r="H25" s="1">
        <v>14328.621469806727</v>
      </c>
      <c r="I25" s="1">
        <v>13770.31374792872</v>
      </c>
      <c r="J25" s="1" t="s">
        <v>56</v>
      </c>
      <c r="K25" s="1">
        <v>2.3748467086238696E-2</v>
      </c>
      <c r="L25" s="1">
        <v>5.1008374532367617E-2</v>
      </c>
      <c r="M25" s="1">
        <v>0.50585521559500202</v>
      </c>
      <c r="N25" s="1">
        <v>12.547789937695869</v>
      </c>
      <c r="O25" s="1">
        <v>13.311256665548045</v>
      </c>
      <c r="P25" s="1" t="s">
        <v>56</v>
      </c>
      <c r="Q25" s="1">
        <v>9.5127398900316781E-2</v>
      </c>
      <c r="R25" s="1">
        <v>8.31947895906157E-2</v>
      </c>
      <c r="S25" s="1">
        <v>7.0694919285202926E-2</v>
      </c>
      <c r="T25" s="1">
        <v>6.0037457498594744</v>
      </c>
      <c r="U25" s="1">
        <v>6.3319296874470021</v>
      </c>
      <c r="V25" s="1" t="s">
        <v>54</v>
      </c>
      <c r="W25" s="1" t="s">
        <v>54</v>
      </c>
      <c r="X25" s="1">
        <v>2.0590589022194277E-2</v>
      </c>
      <c r="Y25" s="1">
        <v>8.2357749218511245</v>
      </c>
      <c r="Z25" s="1">
        <v>0.2575163156196052</v>
      </c>
      <c r="AA25" s="1" t="s">
        <v>54</v>
      </c>
      <c r="AB25" s="1" t="s">
        <v>54</v>
      </c>
      <c r="AC25" s="1" t="s">
        <v>56</v>
      </c>
      <c r="AD25" s="1" t="s">
        <v>56</v>
      </c>
      <c r="AE25" s="1" t="s">
        <v>54</v>
      </c>
      <c r="AG25" s="1">
        <v>8.4911146905301447</v>
      </c>
      <c r="AH25" s="1">
        <v>1.3533795396966775E-2</v>
      </c>
      <c r="AI25" s="1">
        <v>3.5714121025134604E-2</v>
      </c>
      <c r="AJ25" s="1">
        <v>2.628633858844738E-3</v>
      </c>
      <c r="AK25" s="1">
        <v>9.9804007539505465E-3</v>
      </c>
      <c r="AL25" s="1">
        <v>1.9671124624050856E-3</v>
      </c>
      <c r="AM25" s="1" t="s">
        <v>56</v>
      </c>
      <c r="AN25" s="1">
        <v>1.7332007272738055E-3</v>
      </c>
      <c r="AO25" s="1" t="s">
        <v>54</v>
      </c>
      <c r="AP25" t="s">
        <v>56</v>
      </c>
      <c r="AQ25" s="1" t="s">
        <v>56</v>
      </c>
      <c r="AR25" s="1" t="s">
        <v>56</v>
      </c>
      <c r="AS25" s="1" t="s">
        <v>54</v>
      </c>
      <c r="AT25" s="1" t="s">
        <v>56</v>
      </c>
      <c r="AU25" s="1" t="s">
        <v>54</v>
      </c>
      <c r="AV25" s="1">
        <v>0.18042273478201473</v>
      </c>
      <c r="AW25" s="1">
        <v>4.8343346447455526E-2</v>
      </c>
      <c r="AX25" s="1" t="s">
        <v>54</v>
      </c>
      <c r="AY25" s="1" t="s">
        <v>54</v>
      </c>
      <c r="AZ25">
        <v>0.32074824190678403</v>
      </c>
      <c r="BA25" s="1">
        <v>0.29679180538928379</v>
      </c>
      <c r="BB25" s="1">
        <v>0.31024285180855715</v>
      </c>
      <c r="BC25" s="1" t="s">
        <v>54</v>
      </c>
      <c r="BD25" t="s">
        <v>54</v>
      </c>
      <c r="BE25"/>
    </row>
    <row r="26" spans="1:57" s="1" customFormat="1" x14ac:dyDescent="0.3">
      <c r="A26" s="1" t="s">
        <v>108</v>
      </c>
      <c r="B26" t="s">
        <v>58</v>
      </c>
      <c r="C26" s="1">
        <v>242.85796261617509</v>
      </c>
      <c r="D26" s="1">
        <v>241.87207614545036</v>
      </c>
      <c r="E26" s="1">
        <v>10.176588703898767</v>
      </c>
      <c r="F26" s="1">
        <v>6618.5092517871308</v>
      </c>
      <c r="G26" s="1" t="s">
        <v>56</v>
      </c>
      <c r="H26" s="1">
        <v>14248.226716012974</v>
      </c>
      <c r="I26" s="1">
        <v>13798.593024000436</v>
      </c>
      <c r="J26" s="1" t="s">
        <v>56</v>
      </c>
      <c r="K26" s="1">
        <v>2.4338223332552495E-2</v>
      </c>
      <c r="L26" s="1">
        <v>6.7240527480578821E-2</v>
      </c>
      <c r="M26" s="1">
        <v>0.50635033291108489</v>
      </c>
      <c r="N26" s="1">
        <v>12.425839883379803</v>
      </c>
      <c r="O26" s="1">
        <v>12.867665533793918</v>
      </c>
      <c r="P26" s="1" t="s">
        <v>56</v>
      </c>
      <c r="Q26" s="1">
        <v>0.10691697482171149</v>
      </c>
      <c r="R26" s="1">
        <v>8.3120690457471585E-2</v>
      </c>
      <c r="S26" s="1">
        <v>8.9112977776832442E-2</v>
      </c>
      <c r="T26" s="1">
        <v>6.0640421848683275</v>
      </c>
      <c r="U26" s="1">
        <v>6.3994363336999021</v>
      </c>
      <c r="V26" s="1" t="s">
        <v>54</v>
      </c>
      <c r="W26" s="1" t="s">
        <v>54</v>
      </c>
      <c r="X26" s="1">
        <v>1.7456672889689672E-2</v>
      </c>
      <c r="Y26" s="1">
        <v>8.3010728331105437</v>
      </c>
      <c r="Z26" s="1">
        <v>0.2300662290458719</v>
      </c>
      <c r="AA26" s="1" t="s">
        <v>54</v>
      </c>
      <c r="AB26" s="1" t="s">
        <v>54</v>
      </c>
      <c r="AC26" s="1" t="s">
        <v>56</v>
      </c>
      <c r="AD26" s="1" t="s">
        <v>54</v>
      </c>
      <c r="AE26" s="1" t="s">
        <v>54</v>
      </c>
      <c r="AG26" s="1">
        <v>8.4517974970078296</v>
      </c>
      <c r="AH26" s="1">
        <v>1.2825868103882764E-2</v>
      </c>
      <c r="AI26" s="1">
        <v>3.5506304946886773E-2</v>
      </c>
      <c r="AJ26" s="1">
        <v>2.5540488055415091E-3</v>
      </c>
      <c r="AK26" s="1">
        <v>9.2035439333852526E-3</v>
      </c>
      <c r="AL26" s="1">
        <v>1.4635367033109413E-3</v>
      </c>
      <c r="AM26" s="1" t="s">
        <v>56</v>
      </c>
      <c r="AN26" s="1">
        <v>1.8771873170025956E-3</v>
      </c>
      <c r="AO26" s="1" t="s">
        <v>54</v>
      </c>
      <c r="AP26" t="s">
        <v>56</v>
      </c>
      <c r="AQ26" s="1" t="s">
        <v>56</v>
      </c>
      <c r="AR26" s="1" t="s">
        <v>56</v>
      </c>
      <c r="AS26" s="1" t="s">
        <v>56</v>
      </c>
      <c r="AT26" s="1" t="s">
        <v>54</v>
      </c>
      <c r="AU26" s="1" t="s">
        <v>54</v>
      </c>
      <c r="AV26" s="1" t="s">
        <v>56</v>
      </c>
      <c r="AW26" s="1">
        <v>3.8678177610305967E-2</v>
      </c>
      <c r="AX26" s="1" t="s">
        <v>54</v>
      </c>
      <c r="AY26" s="1" t="s">
        <v>54</v>
      </c>
      <c r="AZ26">
        <v>0.32051180408633101</v>
      </c>
      <c r="BA26" s="1">
        <v>0.29994669043404754</v>
      </c>
      <c r="BB26" s="1">
        <v>0.31117819773682354</v>
      </c>
      <c r="BC26" s="1" t="s">
        <v>54</v>
      </c>
      <c r="BD26" t="s">
        <v>54</v>
      </c>
      <c r="BE26"/>
    </row>
    <row r="27" spans="1:57" s="1" customFormat="1" x14ac:dyDescent="0.3">
      <c r="A27" s="1" t="s">
        <v>108</v>
      </c>
      <c r="B27" t="s">
        <v>58</v>
      </c>
      <c r="C27" s="1">
        <v>243.85365485649936</v>
      </c>
      <c r="D27" s="1">
        <v>241.95547075160508</v>
      </c>
      <c r="E27" s="1">
        <v>10.475074397470664</v>
      </c>
      <c r="F27" s="1">
        <v>6528.3825102249475</v>
      </c>
      <c r="G27" s="1" t="s">
        <v>56</v>
      </c>
      <c r="H27" s="1">
        <v>14072.695978813155</v>
      </c>
      <c r="I27" s="1">
        <v>13738.862641185966</v>
      </c>
      <c r="J27" s="1" t="s">
        <v>56</v>
      </c>
      <c r="K27" s="1">
        <v>2.1564416172415637E-2</v>
      </c>
      <c r="L27" s="1">
        <v>5.8244075679711758E-2</v>
      </c>
      <c r="M27" s="1">
        <v>0.50882372204825266</v>
      </c>
      <c r="N27" s="1">
        <v>12.274601979574529</v>
      </c>
      <c r="O27" s="1">
        <v>12.552909005555163</v>
      </c>
      <c r="P27" s="1" t="s">
        <v>56</v>
      </c>
      <c r="Q27" s="1">
        <v>0.10168529580030451</v>
      </c>
      <c r="R27" s="1">
        <v>8.1199573702452926E-2</v>
      </c>
      <c r="S27" s="1">
        <v>8.1989443902903233E-2</v>
      </c>
      <c r="T27" s="1">
        <v>6.1009677822293726</v>
      </c>
      <c r="U27" s="1">
        <v>6.3186960207396989</v>
      </c>
      <c r="V27" s="1" t="s">
        <v>54</v>
      </c>
      <c r="W27" s="1" t="s">
        <v>54</v>
      </c>
      <c r="X27" s="1">
        <v>1.8394942345794127E-2</v>
      </c>
      <c r="Y27" s="1">
        <v>8.1891679333862264</v>
      </c>
      <c r="Z27" s="1">
        <v>0.22182897702588356</v>
      </c>
      <c r="AA27" s="1" t="s">
        <v>54</v>
      </c>
      <c r="AB27" s="1" t="s">
        <v>54</v>
      </c>
      <c r="AC27" s="1" t="s">
        <v>54</v>
      </c>
      <c r="AD27" s="1" t="s">
        <v>54</v>
      </c>
      <c r="AE27" s="1" t="s">
        <v>54</v>
      </c>
      <c r="AG27" s="1">
        <v>8.4535038652757137</v>
      </c>
      <c r="AH27" s="1">
        <v>1.2555023427236542E-2</v>
      </c>
      <c r="AI27" s="1">
        <v>3.6567762475865385E-2</v>
      </c>
      <c r="AJ27" s="1">
        <v>3.0220493657325412E-3</v>
      </c>
      <c r="AK27" s="1">
        <v>9.4088276745938233E-3</v>
      </c>
      <c r="AL27" s="1">
        <v>2.2309068299351045E-3</v>
      </c>
      <c r="AM27" s="1" t="s">
        <v>56</v>
      </c>
      <c r="AN27" s="1">
        <v>1.7942091430764727E-3</v>
      </c>
      <c r="AO27" s="1" t="s">
        <v>54</v>
      </c>
      <c r="AP27" t="s">
        <v>56</v>
      </c>
      <c r="AQ27" s="1" t="s">
        <v>56</v>
      </c>
      <c r="AR27" s="1" t="s">
        <v>56</v>
      </c>
      <c r="AS27" s="1" t="s">
        <v>54</v>
      </c>
      <c r="AT27" s="1" t="s">
        <v>56</v>
      </c>
      <c r="AU27" s="1" t="s">
        <v>54</v>
      </c>
      <c r="AV27" s="1" t="s">
        <v>56</v>
      </c>
      <c r="AW27" s="1">
        <v>3.4437207630882656E-2</v>
      </c>
      <c r="AX27" s="1" t="s">
        <v>54</v>
      </c>
      <c r="AY27" s="1" t="s">
        <v>54</v>
      </c>
      <c r="AZ27">
        <v>0.32795499152373359</v>
      </c>
      <c r="BA27" s="1">
        <v>0.29732030220855177</v>
      </c>
      <c r="BB27" s="1">
        <v>0.31057685133056429</v>
      </c>
      <c r="BC27" s="1" t="s">
        <v>54</v>
      </c>
      <c r="BD27" t="s">
        <v>54</v>
      </c>
      <c r="BE27"/>
    </row>
    <row r="28" spans="1:57" s="1" customFormat="1" x14ac:dyDescent="0.3">
      <c r="A28" s="1" t="s">
        <v>108</v>
      </c>
      <c r="B28" t="s">
        <v>58</v>
      </c>
      <c r="C28" s="1">
        <v>251.06026504381273</v>
      </c>
      <c r="D28" s="1">
        <v>248.95070862782953</v>
      </c>
      <c r="E28" s="1">
        <v>10.544228317079794</v>
      </c>
      <c r="F28" s="1">
        <v>6671.8814365496974</v>
      </c>
      <c r="G28" s="1" t="s">
        <v>56</v>
      </c>
      <c r="H28" s="1">
        <v>14405.046608443077</v>
      </c>
      <c r="I28" s="1">
        <v>13998.740363408901</v>
      </c>
      <c r="J28" s="1" t="s">
        <v>54</v>
      </c>
      <c r="K28" s="1">
        <v>2.3555585577066603E-2</v>
      </c>
      <c r="L28" s="1">
        <v>5.8705256874268565E-2</v>
      </c>
      <c r="M28" s="1">
        <v>0.51157297663078116</v>
      </c>
      <c r="N28" s="1">
        <v>12.246148154556913</v>
      </c>
      <c r="O28" s="1">
        <v>12.352884954409596</v>
      </c>
      <c r="P28" s="1" t="s">
        <v>56</v>
      </c>
      <c r="Q28" s="1">
        <v>0.11022228361632967</v>
      </c>
      <c r="R28" s="1">
        <v>8.4310121793994247E-2</v>
      </c>
      <c r="S28" s="1">
        <v>8.5470483937061831E-2</v>
      </c>
      <c r="T28" s="1">
        <v>6.1400426941461861</v>
      </c>
      <c r="U28" s="1">
        <v>6.5375469087050604</v>
      </c>
      <c r="V28" s="1" t="s">
        <v>54</v>
      </c>
      <c r="W28" s="1" t="s">
        <v>54</v>
      </c>
      <c r="X28" s="1">
        <v>1.6994423121203993E-2</v>
      </c>
      <c r="Y28" s="1">
        <v>8.2934322379923184</v>
      </c>
      <c r="Z28" s="1" t="s">
        <v>56</v>
      </c>
      <c r="AA28" s="1" t="s">
        <v>54</v>
      </c>
      <c r="AB28" s="1" t="s">
        <v>54</v>
      </c>
      <c r="AC28" s="1" t="s">
        <v>56</v>
      </c>
      <c r="AD28" s="1" t="s">
        <v>54</v>
      </c>
      <c r="AE28" s="1" t="s">
        <v>54</v>
      </c>
      <c r="AG28" s="1">
        <v>8.5389661678285869</v>
      </c>
      <c r="AH28" s="1">
        <v>1.3613245877322192E-2</v>
      </c>
      <c r="AI28" s="1">
        <v>3.5712970126457758E-2</v>
      </c>
      <c r="AJ28" s="1">
        <v>2.7996020197716067E-3</v>
      </c>
      <c r="AK28" s="1">
        <v>9.7637159425702086E-3</v>
      </c>
      <c r="AL28" s="1">
        <v>1.9074744035138876E-3</v>
      </c>
      <c r="AM28" s="1" t="s">
        <v>56</v>
      </c>
      <c r="AN28" s="1">
        <v>1.5926614438416618E-3</v>
      </c>
      <c r="AO28" s="1" t="s">
        <v>54</v>
      </c>
      <c r="AP28" t="s">
        <v>56</v>
      </c>
      <c r="AQ28" s="1" t="s">
        <v>56</v>
      </c>
      <c r="AR28" s="1" t="s">
        <v>56</v>
      </c>
      <c r="AS28" s="1" t="s">
        <v>54</v>
      </c>
      <c r="AT28" s="1" t="s">
        <v>56</v>
      </c>
      <c r="AU28" s="1" t="s">
        <v>54</v>
      </c>
      <c r="AV28" s="1" t="s">
        <v>56</v>
      </c>
      <c r="AW28" s="1">
        <v>3.4974462618090479E-2</v>
      </c>
      <c r="AX28" s="1" t="s">
        <v>54</v>
      </c>
      <c r="AY28" s="1" t="s">
        <v>54</v>
      </c>
      <c r="AZ28">
        <v>0.32803619728809263</v>
      </c>
      <c r="BA28" s="1">
        <v>0.30414854631614252</v>
      </c>
      <c r="BB28" s="1">
        <v>0.31778795931961623</v>
      </c>
      <c r="BC28" s="1" t="s">
        <v>54</v>
      </c>
      <c r="BD28" t="s">
        <v>54</v>
      </c>
      <c r="BE28"/>
    </row>
    <row r="29" spans="1:57" s="1" customFormat="1" x14ac:dyDescent="0.3">
      <c r="A29" s="1" t="s">
        <v>108</v>
      </c>
      <c r="B29" t="s">
        <v>58</v>
      </c>
      <c r="C29" s="1">
        <v>246.06901334999642</v>
      </c>
      <c r="D29" s="1">
        <v>245.33461310587023</v>
      </c>
      <c r="E29" s="1">
        <v>9.913386493285822</v>
      </c>
      <c r="F29" s="1">
        <v>6513.4974740449679</v>
      </c>
      <c r="G29" s="1" t="s">
        <v>56</v>
      </c>
      <c r="H29" s="1">
        <v>14137.244320808071</v>
      </c>
      <c r="I29" s="1">
        <v>13781.727930681429</v>
      </c>
      <c r="J29" s="1" t="s">
        <v>54</v>
      </c>
      <c r="K29" s="1">
        <v>2.5189044799005755E-2</v>
      </c>
      <c r="L29" s="1">
        <v>5.6501882197118068E-2</v>
      </c>
      <c r="M29" s="1">
        <v>0.500326189729694</v>
      </c>
      <c r="N29" s="1">
        <v>12.174611760094349</v>
      </c>
      <c r="O29" s="1">
        <v>12.771374153642414</v>
      </c>
      <c r="P29" s="1" t="s">
        <v>56</v>
      </c>
      <c r="Q29" s="1">
        <v>0.10135977306169716</v>
      </c>
      <c r="R29" s="1">
        <v>8.0600833863690435E-2</v>
      </c>
      <c r="S29" s="1">
        <v>7.7463017362965556E-2</v>
      </c>
      <c r="T29" s="1">
        <v>6.1771570174177528</v>
      </c>
      <c r="U29" s="1">
        <v>6.4632399095354538</v>
      </c>
      <c r="V29" s="1" t="s">
        <v>54</v>
      </c>
      <c r="W29" s="1" t="s">
        <v>54</v>
      </c>
      <c r="X29" s="1">
        <v>2.013846219491543E-2</v>
      </c>
      <c r="Y29" s="1">
        <v>8.2676286384765856</v>
      </c>
      <c r="Z29" s="1">
        <v>0.21572874757847244</v>
      </c>
      <c r="AA29" s="1" t="s">
        <v>54</v>
      </c>
      <c r="AB29" s="1" t="s">
        <v>54</v>
      </c>
      <c r="AC29" s="1" t="s">
        <v>56</v>
      </c>
      <c r="AD29" s="1" t="s">
        <v>54</v>
      </c>
      <c r="AE29" s="1" t="s">
        <v>54</v>
      </c>
      <c r="AG29" s="1">
        <v>8.4504874952330198</v>
      </c>
      <c r="AH29" s="1">
        <v>1.3167014246858309E-2</v>
      </c>
      <c r="AI29" s="1">
        <v>3.4653251446084853E-2</v>
      </c>
      <c r="AJ29" s="1">
        <v>2.7614441459395131E-3</v>
      </c>
      <c r="AK29" s="1">
        <v>1.0440757533174029E-2</v>
      </c>
      <c r="AL29" s="1">
        <v>2.3705838224793133E-3</v>
      </c>
      <c r="AM29" s="1" t="s">
        <v>56</v>
      </c>
      <c r="AN29" s="1" t="s">
        <v>56</v>
      </c>
      <c r="AO29" s="1" t="s">
        <v>54</v>
      </c>
      <c r="AP29" t="s">
        <v>56</v>
      </c>
      <c r="AQ29" s="1" t="s">
        <v>56</v>
      </c>
      <c r="AR29" s="1" t="s">
        <v>56</v>
      </c>
      <c r="AS29" s="1" t="s">
        <v>56</v>
      </c>
      <c r="AT29" s="1" t="s">
        <v>56</v>
      </c>
      <c r="AU29" s="1" t="s">
        <v>54</v>
      </c>
      <c r="AV29" s="1" t="s">
        <v>56</v>
      </c>
      <c r="AW29" s="1">
        <v>3.5101887340880253E-2</v>
      </c>
      <c r="AX29" s="1" t="s">
        <v>54</v>
      </c>
      <c r="AY29" s="1" t="s">
        <v>54</v>
      </c>
      <c r="AZ29">
        <v>0.32532305207674261</v>
      </c>
      <c r="BA29" s="1">
        <v>0.2975386313124575</v>
      </c>
      <c r="BB29" s="1">
        <v>0.31310479104451788</v>
      </c>
      <c r="BC29" s="1" t="s">
        <v>54</v>
      </c>
      <c r="BD29" t="s">
        <v>54</v>
      </c>
      <c r="BE29"/>
    </row>
    <row r="30" spans="1:57" s="1" customFormat="1" x14ac:dyDescent="0.3">
      <c r="A30" s="1" t="s">
        <v>108</v>
      </c>
      <c r="B30" t="s">
        <v>58</v>
      </c>
      <c r="C30" s="1">
        <v>251.52388570952692</v>
      </c>
      <c r="D30" s="1">
        <v>250.95238164879862</v>
      </c>
      <c r="E30" s="1">
        <v>10.487534844138759</v>
      </c>
      <c r="F30" s="1">
        <v>6662.2484302918347</v>
      </c>
      <c r="G30" s="1" t="s">
        <v>56</v>
      </c>
      <c r="H30" s="1">
        <v>14518.341956022856</v>
      </c>
      <c r="I30" s="1">
        <v>13941.254267143184</v>
      </c>
      <c r="J30" s="1" t="s">
        <v>54</v>
      </c>
      <c r="K30" s="1">
        <v>2.1119192116785684E-2</v>
      </c>
      <c r="L30" s="1">
        <v>6.4739147729587845E-2</v>
      </c>
      <c r="M30" s="1">
        <v>0.50795117020983005</v>
      </c>
      <c r="N30" s="1">
        <v>12.353017888326386</v>
      </c>
      <c r="O30" s="1">
        <v>12.251896131239093</v>
      </c>
      <c r="P30" s="1" t="s">
        <v>56</v>
      </c>
      <c r="Q30" s="1">
        <v>0.10848029515153131</v>
      </c>
      <c r="R30" s="1">
        <v>8.3554006506910777E-2</v>
      </c>
      <c r="S30" s="1">
        <v>8.5370357740510924E-2</v>
      </c>
      <c r="T30" s="1">
        <v>6.2662089972118462</v>
      </c>
      <c r="U30" s="1">
        <v>6.5313382185780489</v>
      </c>
      <c r="V30" s="1" t="s">
        <v>54</v>
      </c>
      <c r="W30" s="1" t="s">
        <v>54</v>
      </c>
      <c r="X30" s="1">
        <v>1.9739789354915063E-2</v>
      </c>
      <c r="Y30" s="1">
        <v>8.4339581611028827</v>
      </c>
      <c r="Z30" s="1" t="s">
        <v>56</v>
      </c>
      <c r="AA30" s="1" t="s">
        <v>54</v>
      </c>
      <c r="AB30" s="1" t="s">
        <v>54</v>
      </c>
      <c r="AC30" s="1" t="s">
        <v>56</v>
      </c>
      <c r="AD30" s="1" t="s">
        <v>54</v>
      </c>
      <c r="AE30" s="1" t="s">
        <v>54</v>
      </c>
      <c r="AG30" s="1">
        <v>8.6144059220229217</v>
      </c>
      <c r="AH30" s="1">
        <v>1.324645299244686E-2</v>
      </c>
      <c r="AI30" s="1">
        <v>3.809891553672147E-2</v>
      </c>
      <c r="AJ30" s="1">
        <v>2.9602184644268053E-3</v>
      </c>
      <c r="AK30" s="1">
        <v>8.7205980529387866E-3</v>
      </c>
      <c r="AL30" s="1">
        <v>2.1143513626822033E-3</v>
      </c>
      <c r="AM30" s="1" t="s">
        <v>56</v>
      </c>
      <c r="AN30" s="1">
        <v>1.8739400354715427E-3</v>
      </c>
      <c r="AO30" s="1" t="s">
        <v>54</v>
      </c>
      <c r="AP30" t="s">
        <v>56</v>
      </c>
      <c r="AQ30" s="1" t="s">
        <v>56</v>
      </c>
      <c r="AR30" s="1" t="s">
        <v>56</v>
      </c>
      <c r="AS30" s="1" t="s">
        <v>56</v>
      </c>
      <c r="AT30" s="1" t="s">
        <v>54</v>
      </c>
      <c r="AU30" s="1" t="s">
        <v>54</v>
      </c>
      <c r="AV30" s="1" t="s">
        <v>56</v>
      </c>
      <c r="AW30" s="1">
        <v>3.465408923838062E-2</v>
      </c>
      <c r="AX30" s="1" t="s">
        <v>54</v>
      </c>
      <c r="AY30" s="1" t="s">
        <v>54</v>
      </c>
      <c r="AZ30">
        <v>0.33641674555286327</v>
      </c>
      <c r="BA30" s="1">
        <v>0.30769711039318737</v>
      </c>
      <c r="BB30" s="1">
        <v>0.32202299186551719</v>
      </c>
      <c r="BC30" s="1" t="s">
        <v>54</v>
      </c>
      <c r="BD30" t="s">
        <v>54</v>
      </c>
      <c r="BE30"/>
    </row>
    <row r="31" spans="1:57" s="1" customFormat="1" x14ac:dyDescent="0.3">
      <c r="A31" s="1" t="s">
        <v>108</v>
      </c>
      <c r="B31" t="s">
        <v>58</v>
      </c>
      <c r="C31" s="1">
        <v>257.35184236894804</v>
      </c>
      <c r="D31" s="1">
        <v>255.99675270326171</v>
      </c>
      <c r="E31" s="1">
        <v>10.673196023381491</v>
      </c>
      <c r="F31" s="1">
        <v>6786.0109376046894</v>
      </c>
      <c r="G31" s="1" t="s">
        <v>56</v>
      </c>
      <c r="H31" s="1">
        <v>14760.186554682525</v>
      </c>
      <c r="I31" s="1">
        <v>14197.395637039624</v>
      </c>
      <c r="J31" s="1" t="s">
        <v>54</v>
      </c>
      <c r="K31" s="1">
        <v>2.2879370812454468E-2</v>
      </c>
      <c r="L31" s="1">
        <v>6.5102182729071298E-2</v>
      </c>
      <c r="M31" s="1">
        <v>0.5079361400878154</v>
      </c>
      <c r="N31" s="1">
        <v>12.481614303185941</v>
      </c>
      <c r="O31" s="1">
        <v>12.776730725803203</v>
      </c>
      <c r="P31" s="1" t="s">
        <v>56</v>
      </c>
      <c r="Q31" s="1">
        <v>0.10476937717576673</v>
      </c>
      <c r="R31" s="1">
        <v>8.6686277002349751E-2</v>
      </c>
      <c r="S31" s="1">
        <v>8.0712621441406618E-2</v>
      </c>
      <c r="T31" s="1">
        <v>6.1725846656409757</v>
      </c>
      <c r="U31" s="1">
        <v>6.4104933634988903</v>
      </c>
      <c r="V31" s="1" t="s">
        <v>54</v>
      </c>
      <c r="W31" s="1" t="s">
        <v>54</v>
      </c>
      <c r="X31" s="1">
        <v>2.238088776248523E-2</v>
      </c>
      <c r="Y31" s="1">
        <v>8.5153033203424791</v>
      </c>
      <c r="Z31" s="1">
        <v>0.21365902381107599</v>
      </c>
      <c r="AA31" s="1" t="s">
        <v>54</v>
      </c>
      <c r="AB31" s="1" t="s">
        <v>54</v>
      </c>
      <c r="AC31" s="1" t="s">
        <v>56</v>
      </c>
      <c r="AD31" s="1" t="s">
        <v>54</v>
      </c>
      <c r="AE31" s="1" t="s">
        <v>54</v>
      </c>
      <c r="AG31" s="1">
        <v>8.7308086905716316</v>
      </c>
      <c r="AH31" s="1">
        <v>1.3685694936756261E-2</v>
      </c>
      <c r="AI31" s="1">
        <v>3.8004590974057291E-2</v>
      </c>
      <c r="AJ31" s="1">
        <v>2.8180791121003349E-3</v>
      </c>
      <c r="AK31" s="1">
        <v>9.7599811074910933E-3</v>
      </c>
      <c r="AL31" s="1">
        <v>1.770785950193847E-3</v>
      </c>
      <c r="AM31" s="1" t="s">
        <v>56</v>
      </c>
      <c r="AN31" s="1">
        <v>1.9488540446611256E-3</v>
      </c>
      <c r="AO31" s="1" t="s">
        <v>54</v>
      </c>
      <c r="AP31" t="s">
        <v>56</v>
      </c>
      <c r="AQ31" s="1" t="s">
        <v>56</v>
      </c>
      <c r="AR31" s="1" t="s">
        <v>56</v>
      </c>
      <c r="AS31" s="1" t="s">
        <v>54</v>
      </c>
      <c r="AT31" s="1" t="s">
        <v>56</v>
      </c>
      <c r="AU31" s="1" t="s">
        <v>54</v>
      </c>
      <c r="AV31" s="1" t="s">
        <v>56</v>
      </c>
      <c r="AW31" s="1">
        <v>3.6192639733826498E-2</v>
      </c>
      <c r="AX31" s="1" t="s">
        <v>54</v>
      </c>
      <c r="AY31" s="1" t="s">
        <v>54</v>
      </c>
      <c r="AZ31">
        <v>0.33400098169366088</v>
      </c>
      <c r="BA31" s="1">
        <v>0.30935504291064286</v>
      </c>
      <c r="BB31" s="1">
        <v>0.32422127518337929</v>
      </c>
      <c r="BC31" s="1" t="s">
        <v>54</v>
      </c>
      <c r="BD31" t="s">
        <v>54</v>
      </c>
      <c r="BE31"/>
    </row>
    <row r="32" spans="1:57" s="1" customFormat="1" x14ac:dyDescent="0.3">
      <c r="A32" s="1" t="s">
        <v>108</v>
      </c>
      <c r="B32" t="s">
        <v>58</v>
      </c>
      <c r="C32" s="1">
        <v>261.0098417310611</v>
      </c>
      <c r="D32" s="1">
        <v>258.90855833576501</v>
      </c>
      <c r="E32" s="1">
        <v>10.818660057286237</v>
      </c>
      <c r="F32" s="1">
        <v>6813.2420546016565</v>
      </c>
      <c r="G32" s="1" t="s">
        <v>56</v>
      </c>
      <c r="H32" s="1">
        <v>14844.567182191069</v>
      </c>
      <c r="I32" s="1">
        <v>14377.000693585396</v>
      </c>
      <c r="J32" s="1" t="s">
        <v>54</v>
      </c>
      <c r="K32" s="1">
        <v>2.4627329946087195E-2</v>
      </c>
      <c r="L32" s="1">
        <v>6.5982675237291968E-2</v>
      </c>
      <c r="M32" s="1">
        <v>0.5154121465974002</v>
      </c>
      <c r="N32" s="1">
        <v>12.634684877773866</v>
      </c>
      <c r="O32" s="1">
        <v>12.819032163650686</v>
      </c>
      <c r="P32" s="1" t="s">
        <v>56</v>
      </c>
      <c r="Q32" s="1">
        <v>0.1036665774130326</v>
      </c>
      <c r="R32" s="1">
        <v>9.0879250512385004E-2</v>
      </c>
      <c r="S32" s="1">
        <v>8.1954527686906364E-2</v>
      </c>
      <c r="T32" s="1">
        <v>6.4075675470316567</v>
      </c>
      <c r="U32" s="1">
        <v>6.4969805199098252</v>
      </c>
      <c r="V32" s="1" t="s">
        <v>54</v>
      </c>
      <c r="W32" s="1" t="s">
        <v>54</v>
      </c>
      <c r="X32" s="1">
        <v>2.0021113826851133E-2</v>
      </c>
      <c r="Y32" s="1">
        <v>8.5763787932560724</v>
      </c>
      <c r="Z32" s="1" t="s">
        <v>56</v>
      </c>
      <c r="AA32" s="1" t="s">
        <v>54</v>
      </c>
      <c r="AB32" s="1" t="s">
        <v>54</v>
      </c>
      <c r="AC32" s="1" t="s">
        <v>56</v>
      </c>
      <c r="AD32" s="1" t="s">
        <v>54</v>
      </c>
      <c r="AE32" s="1" t="s">
        <v>54</v>
      </c>
      <c r="AG32" s="1">
        <v>8.731557433692803</v>
      </c>
      <c r="AH32" s="1">
        <v>1.3056073276493448E-2</v>
      </c>
      <c r="AI32" s="1">
        <v>3.9039302106003676E-2</v>
      </c>
      <c r="AJ32" s="1">
        <v>2.990370226918778E-3</v>
      </c>
      <c r="AK32" s="1">
        <v>8.940792786735258E-3</v>
      </c>
      <c r="AL32" s="1">
        <v>2.6720471473389703E-3</v>
      </c>
      <c r="AM32" s="1" t="s">
        <v>56</v>
      </c>
      <c r="AN32" s="1">
        <v>1.7756463666883E-3</v>
      </c>
      <c r="AO32" s="1" t="s">
        <v>54</v>
      </c>
      <c r="AP32" t="s">
        <v>56</v>
      </c>
      <c r="AQ32" s="1" t="s">
        <v>56</v>
      </c>
      <c r="AR32" s="1" t="s">
        <v>56</v>
      </c>
      <c r="AS32" s="1" t="s">
        <v>56</v>
      </c>
      <c r="AT32" s="1" t="s">
        <v>54</v>
      </c>
      <c r="AU32" s="1" t="s">
        <v>54</v>
      </c>
      <c r="AV32" s="1" t="s">
        <v>56</v>
      </c>
      <c r="AW32" s="1">
        <v>3.5797274552078304E-2</v>
      </c>
      <c r="AX32" s="1" t="s">
        <v>54</v>
      </c>
      <c r="AY32" s="1" t="s">
        <v>54</v>
      </c>
      <c r="AZ32">
        <v>0.34088910677792439</v>
      </c>
      <c r="BA32" s="1">
        <v>0.31497603777670596</v>
      </c>
      <c r="BB32" s="1">
        <v>0.32673874822286025</v>
      </c>
      <c r="BC32" s="1" t="s">
        <v>54</v>
      </c>
      <c r="BD32" t="s">
        <v>54</v>
      </c>
      <c r="BE32"/>
    </row>
    <row r="33" spans="1:57" s="1" customFormat="1" x14ac:dyDescent="0.3">
      <c r="A33" s="1" t="s">
        <v>108</v>
      </c>
      <c r="B33" t="s">
        <v>58</v>
      </c>
      <c r="C33" s="1">
        <v>259.94254934045898</v>
      </c>
      <c r="D33" s="1">
        <v>261.01878007312592</v>
      </c>
      <c r="E33" s="1">
        <v>11.133392370859989</v>
      </c>
      <c r="F33" s="1">
        <v>6866.6194285417023</v>
      </c>
      <c r="G33" s="1" t="s">
        <v>56</v>
      </c>
      <c r="H33" s="1">
        <v>14935.669589296125</v>
      </c>
      <c r="I33" s="1">
        <v>14492.967880594671</v>
      </c>
      <c r="J33" s="1" t="s">
        <v>54</v>
      </c>
      <c r="K33" s="1">
        <v>2.1995121990427791E-2</v>
      </c>
      <c r="L33" s="1">
        <v>6.5623936934049179E-2</v>
      </c>
      <c r="M33" s="1">
        <v>0.53437498641677084</v>
      </c>
      <c r="N33" s="1">
        <v>12.5994136092724</v>
      </c>
      <c r="O33" s="1">
        <v>12.997025422850204</v>
      </c>
      <c r="P33" s="1" t="s">
        <v>56</v>
      </c>
      <c r="Q33" s="1">
        <v>0.10164840002997501</v>
      </c>
      <c r="R33" s="1">
        <v>8.5313454514422349E-2</v>
      </c>
      <c r="S33" s="1">
        <v>8.3246416910214893E-2</v>
      </c>
      <c r="T33" s="1">
        <v>6.3525910723870789</v>
      </c>
      <c r="U33" s="1">
        <v>6.6186539684476164</v>
      </c>
      <c r="V33" s="1" t="s">
        <v>54</v>
      </c>
      <c r="W33" s="1" t="s">
        <v>54</v>
      </c>
      <c r="X33" s="1">
        <v>2.19395957804649E-2</v>
      </c>
      <c r="Y33" s="1">
        <v>8.7585309672568652</v>
      </c>
      <c r="Z33" s="1">
        <v>0.2214090940937678</v>
      </c>
      <c r="AA33" s="1" t="s">
        <v>54</v>
      </c>
      <c r="AB33" s="1" t="s">
        <v>54</v>
      </c>
      <c r="AC33" s="1" t="s">
        <v>54</v>
      </c>
      <c r="AD33" s="1" t="s">
        <v>54</v>
      </c>
      <c r="AE33" s="1" t="s">
        <v>54</v>
      </c>
      <c r="AG33" s="1">
        <v>8.7813989740234604</v>
      </c>
      <c r="AH33" s="1">
        <v>1.2991314422697794E-2</v>
      </c>
      <c r="AI33" s="1">
        <v>3.642791715540513E-2</v>
      </c>
      <c r="AJ33" s="1">
        <v>2.6504926438006599E-3</v>
      </c>
      <c r="AK33" s="1">
        <v>1.0554346177577664E-2</v>
      </c>
      <c r="AL33" s="1">
        <v>1.6806987960973491E-3</v>
      </c>
      <c r="AM33" s="1" t="s">
        <v>56</v>
      </c>
      <c r="AN33" s="1">
        <v>1.6848422224365501E-3</v>
      </c>
      <c r="AO33" s="1" t="s">
        <v>54</v>
      </c>
      <c r="AP33" t="s">
        <v>56</v>
      </c>
      <c r="AQ33" s="1" t="s">
        <v>56</v>
      </c>
      <c r="AR33" s="1" t="s">
        <v>56</v>
      </c>
      <c r="AS33" s="1" t="s">
        <v>56</v>
      </c>
      <c r="AT33" s="1" t="s">
        <v>56</v>
      </c>
      <c r="AU33" s="1" t="s">
        <v>54</v>
      </c>
      <c r="AV33" s="1" t="s">
        <v>56</v>
      </c>
      <c r="AW33" s="1">
        <v>3.7440843121984431E-2</v>
      </c>
      <c r="AX33" s="1" t="s">
        <v>54</v>
      </c>
      <c r="AY33" s="1" t="s">
        <v>54</v>
      </c>
      <c r="AZ33">
        <v>0.34057535983150367</v>
      </c>
      <c r="BA33" s="1">
        <v>0.31200672316712458</v>
      </c>
      <c r="BB33" s="1">
        <v>0.32671473786499894</v>
      </c>
      <c r="BC33" s="1" t="s">
        <v>54</v>
      </c>
      <c r="BD33" t="s">
        <v>54</v>
      </c>
      <c r="BE33"/>
    </row>
    <row r="34" spans="1:57" s="1" customFormat="1" x14ac:dyDescent="0.3">
      <c r="A34" s="1" t="s">
        <v>108</v>
      </c>
      <c r="B34" t="s">
        <v>58</v>
      </c>
      <c r="C34" s="1">
        <v>254.66709493171518</v>
      </c>
      <c r="D34" s="1">
        <v>253.50971825107825</v>
      </c>
      <c r="E34" s="1">
        <v>11.180303839508733</v>
      </c>
      <c r="F34" s="1">
        <v>6744.9695402426005</v>
      </c>
      <c r="G34" s="1" t="s">
        <v>56</v>
      </c>
      <c r="H34" s="1">
        <v>14600.323426318098</v>
      </c>
      <c r="I34" s="1">
        <v>14227.230359144158</v>
      </c>
      <c r="J34" s="1" t="s">
        <v>54</v>
      </c>
      <c r="K34" s="1">
        <v>2.1630482862123424E-2</v>
      </c>
      <c r="L34" s="1">
        <v>6.9815121586704554E-2</v>
      </c>
      <c r="M34" s="1">
        <v>0.51543284804777489</v>
      </c>
      <c r="N34" s="1">
        <v>12.387933034624323</v>
      </c>
      <c r="O34" s="1">
        <v>12.660995363094058</v>
      </c>
      <c r="P34" s="1" t="s">
        <v>56</v>
      </c>
      <c r="Q34" s="1">
        <v>0.10494929979354005</v>
      </c>
      <c r="R34" s="1">
        <v>8.2731603077248514E-2</v>
      </c>
      <c r="S34" s="1">
        <v>8.2227258164546263E-2</v>
      </c>
      <c r="T34" s="1">
        <v>6.1668199133084212</v>
      </c>
      <c r="U34" s="1">
        <v>6.6455551179090655</v>
      </c>
      <c r="V34" s="1" t="s">
        <v>54</v>
      </c>
      <c r="W34" s="1" t="s">
        <v>54</v>
      </c>
      <c r="X34" s="1">
        <v>1.6545212971517197E-2</v>
      </c>
      <c r="Y34" s="1">
        <v>8.6162079439243922</v>
      </c>
      <c r="Z34" s="1">
        <v>0.22373834503521936</v>
      </c>
      <c r="AA34" s="1" t="s">
        <v>54</v>
      </c>
      <c r="AB34" s="1" t="s">
        <v>54</v>
      </c>
      <c r="AC34" s="1" t="s">
        <v>56</v>
      </c>
      <c r="AD34" s="1" t="s">
        <v>54</v>
      </c>
      <c r="AE34" s="1" t="s">
        <v>54</v>
      </c>
      <c r="AG34" s="1">
        <v>8.7512704454345887</v>
      </c>
      <c r="AH34" s="1">
        <v>1.3264153564738406E-2</v>
      </c>
      <c r="AI34" s="1">
        <v>3.839465825097451E-2</v>
      </c>
      <c r="AJ34" s="1">
        <v>2.9270072446310287E-3</v>
      </c>
      <c r="AK34" s="1">
        <v>9.9072176469728081E-3</v>
      </c>
      <c r="AL34" s="1">
        <v>2.4245386925424006E-3</v>
      </c>
      <c r="AM34" s="1" t="s">
        <v>56</v>
      </c>
      <c r="AN34" s="1">
        <v>2.0267247723694871E-3</v>
      </c>
      <c r="AO34" s="1" t="s">
        <v>54</v>
      </c>
      <c r="AP34" t="s">
        <v>56</v>
      </c>
      <c r="AQ34" s="1" t="s">
        <v>56</v>
      </c>
      <c r="AR34" s="1" t="s">
        <v>56</v>
      </c>
      <c r="AS34" s="1" t="s">
        <v>54</v>
      </c>
      <c r="AT34" s="1" t="s">
        <v>56</v>
      </c>
      <c r="AU34" s="1" t="s">
        <v>54</v>
      </c>
      <c r="AV34" s="1" t="s">
        <v>56</v>
      </c>
      <c r="AW34" s="1">
        <v>3.8037030219238023E-2</v>
      </c>
      <c r="AX34" s="1" t="s">
        <v>56</v>
      </c>
      <c r="AY34" s="1" t="s">
        <v>54</v>
      </c>
      <c r="AZ34">
        <v>0.33813302083256391</v>
      </c>
      <c r="BA34" s="1">
        <v>0.30843623753572752</v>
      </c>
      <c r="BB34" s="1">
        <v>0.32281426290847581</v>
      </c>
      <c r="BC34" s="1" t="s">
        <v>54</v>
      </c>
      <c r="BD34" t="s">
        <v>54</v>
      </c>
      <c r="BE34"/>
    </row>
    <row r="35" spans="1:57" s="1" customFormat="1" x14ac:dyDescent="0.3">
      <c r="B35"/>
      <c r="AO35"/>
      <c r="AY35"/>
      <c r="BC35"/>
      <c r="BD35"/>
    </row>
    <row r="36" spans="1:57" s="1" customFormat="1" x14ac:dyDescent="0.3">
      <c r="B36" t="s">
        <v>526</v>
      </c>
      <c r="AF36" s="1" t="s">
        <v>527</v>
      </c>
      <c r="AO36"/>
      <c r="AY36"/>
      <c r="BC36"/>
      <c r="BD36"/>
    </row>
    <row r="38" spans="1:57" x14ac:dyDescent="0.3">
      <c r="A38" s="16" t="s">
        <v>99</v>
      </c>
    </row>
    <row r="39" spans="1:57" x14ac:dyDescent="0.3">
      <c r="B39" t="s">
        <v>66</v>
      </c>
      <c r="C39">
        <f t="shared" ref="C39:E39" si="0">AVERAGE(C8:C34)</f>
        <v>221.64609853565591</v>
      </c>
      <c r="D39">
        <f t="shared" si="0"/>
        <v>224.44068799699158</v>
      </c>
      <c r="E39">
        <f t="shared" si="0"/>
        <v>12.160309581619877</v>
      </c>
      <c r="F39">
        <f>AVERAGE(F8:F34)</f>
        <v>6036.0180853234742</v>
      </c>
      <c r="G39">
        <f t="shared" ref="G39:BD39" si="1">AVERAGE(G8:G34)</f>
        <v>6.4533782422674602</v>
      </c>
      <c r="H39">
        <f t="shared" si="1"/>
        <v>13387.118137886677</v>
      </c>
      <c r="I39">
        <f t="shared" si="1"/>
        <v>12952.640430125872</v>
      </c>
      <c r="J39">
        <f t="shared" si="1"/>
        <v>0.74167446670402137</v>
      </c>
      <c r="K39">
        <f t="shared" si="1"/>
        <v>2.2043369269539832E-2</v>
      </c>
      <c r="L39">
        <f t="shared" si="1"/>
        <v>9.728320352726616E-2</v>
      </c>
      <c r="M39">
        <f t="shared" si="1"/>
        <v>0.72993328615529984</v>
      </c>
      <c r="N39">
        <f t="shared" si="1"/>
        <v>16.668976769103015</v>
      </c>
      <c r="O39">
        <f t="shared" si="1"/>
        <v>17.031522025310284</v>
      </c>
      <c r="P39">
        <f t="shared" si="1"/>
        <v>4.4713451584371226E-3</v>
      </c>
      <c r="Q39">
        <f t="shared" si="1"/>
        <v>0.13962062212497023</v>
      </c>
      <c r="R39">
        <f t="shared" si="1"/>
        <v>7.1179899704708061E-2</v>
      </c>
      <c r="S39">
        <f t="shared" si="1"/>
        <v>7.1197851752839131E-2</v>
      </c>
      <c r="T39">
        <f t="shared" si="1"/>
        <v>5.6445364590135458</v>
      </c>
      <c r="U39">
        <f t="shared" si="1"/>
        <v>5.8810952155052485</v>
      </c>
      <c r="V39">
        <f t="shared" si="1"/>
        <v>2.6890103817522607E-2</v>
      </c>
      <c r="X39">
        <f t="shared" si="1"/>
        <v>2.0667251094425527E-2</v>
      </c>
      <c r="Y39">
        <f t="shared" si="1"/>
        <v>7.8038390346459545</v>
      </c>
      <c r="Z39">
        <f t="shared" si="1"/>
        <v>0.22205759281074924</v>
      </c>
      <c r="AA39">
        <f t="shared" si="1"/>
        <v>0.10156316496176432</v>
      </c>
      <c r="AB39">
        <f t="shared" si="1"/>
        <v>0.10266098972959092</v>
      </c>
      <c r="AC39">
        <f t="shared" si="1"/>
        <v>9.5900681026077112E-4</v>
      </c>
      <c r="AD39">
        <f t="shared" si="1"/>
        <v>5.7237501962849657E-2</v>
      </c>
      <c r="AE39">
        <f t="shared" si="1"/>
        <v>1.9775104450548791E-2</v>
      </c>
      <c r="AF39">
        <f t="shared" si="1"/>
        <v>3.9011529873057637E-4</v>
      </c>
      <c r="AG39">
        <f t="shared" si="1"/>
        <v>7.9064228176373588</v>
      </c>
      <c r="AH39">
        <f t="shared" si="1"/>
        <v>1.2572156868614149E-2</v>
      </c>
      <c r="AI39">
        <f t="shared" si="1"/>
        <v>3.0104855883103025E-2</v>
      </c>
      <c r="AJ39">
        <f t="shared" si="1"/>
        <v>2.5959484536903551E-3</v>
      </c>
      <c r="AK39">
        <f t="shared" si="1"/>
        <v>9.6324378955165782E-3</v>
      </c>
      <c r="AL39">
        <f t="shared" si="1"/>
        <v>1.9228823796276727E-3</v>
      </c>
      <c r="AM39">
        <f t="shared" si="1"/>
        <v>4.96758616968011E-4</v>
      </c>
      <c r="AN39">
        <f t="shared" si="1"/>
        <v>1.7664481581536801E-3</v>
      </c>
      <c r="AO39">
        <f t="shared" si="1"/>
        <v>2.39615460104956E-4</v>
      </c>
      <c r="AP39">
        <f t="shared" si="1"/>
        <v>1.3552421172273413E-3</v>
      </c>
      <c r="AQ39">
        <f t="shared" si="1"/>
        <v>2.1650392716015418E-4</v>
      </c>
      <c r="AR39">
        <f t="shared" si="1"/>
        <v>6.9845080372387563E-4</v>
      </c>
      <c r="AS39">
        <f t="shared" si="1"/>
        <v>1.1471454272406378E-4</v>
      </c>
      <c r="AT39">
        <f t="shared" si="1"/>
        <v>5.2884427264511254E-4</v>
      </c>
      <c r="AU39">
        <f t="shared" si="1"/>
        <v>8.0547520983180939E-5</v>
      </c>
      <c r="AV39">
        <f t="shared" si="1"/>
        <v>0.11477488224656295</v>
      </c>
      <c r="AW39">
        <f t="shared" si="1"/>
        <v>0.27974550599159109</v>
      </c>
      <c r="AX39">
        <f t="shared" si="1"/>
        <v>1.7441285351715968E-4</v>
      </c>
      <c r="AY39">
        <f t="shared" si="1"/>
        <v>2.2517460732331292E-4</v>
      </c>
      <c r="AZ39">
        <f t="shared" si="1"/>
        <v>0.32117815809491218</v>
      </c>
      <c r="BA39">
        <f t="shared" si="1"/>
        <v>0.29667261649185422</v>
      </c>
      <c r="BB39">
        <f t="shared" si="1"/>
        <v>0.30668267378425362</v>
      </c>
      <c r="BC39">
        <f t="shared" si="1"/>
        <v>5.9041768282569969E-2</v>
      </c>
      <c r="BD39">
        <f t="shared" si="1"/>
        <v>2.2155182032639466E-3</v>
      </c>
    </row>
    <row r="40" spans="1:57" x14ac:dyDescent="0.3">
      <c r="B40" t="s">
        <v>100</v>
      </c>
      <c r="C40">
        <f t="shared" ref="C40:BD40" si="2">MEDIAN(C8:C34)</f>
        <v>212.96187458722969</v>
      </c>
      <c r="D40">
        <f t="shared" si="2"/>
        <v>215.27392156522285</v>
      </c>
      <c r="E40">
        <f t="shared" si="2"/>
        <v>11.322475654345068</v>
      </c>
      <c r="F40">
        <f>MEDIAN(F8:F34)</f>
        <v>5907.3976182852966</v>
      </c>
      <c r="G40">
        <f t="shared" si="2"/>
        <v>5.5681642282448438</v>
      </c>
      <c r="H40">
        <f t="shared" si="2"/>
        <v>13347.855007033013</v>
      </c>
      <c r="I40">
        <f t="shared" si="2"/>
        <v>12799.462273181476</v>
      </c>
      <c r="J40">
        <f t="shared" si="2"/>
        <v>0.59738321390423865</v>
      </c>
      <c r="K40">
        <f t="shared" si="2"/>
        <v>2.1995121990427791E-2</v>
      </c>
      <c r="L40">
        <f t="shared" si="2"/>
        <v>8.7313323744293514E-2</v>
      </c>
      <c r="M40">
        <f t="shared" si="2"/>
        <v>0.77593855995039018</v>
      </c>
      <c r="N40">
        <f t="shared" si="2"/>
        <v>18.509372687326884</v>
      </c>
      <c r="O40">
        <f t="shared" si="2"/>
        <v>18.952356758116547</v>
      </c>
      <c r="P40">
        <f t="shared" si="2"/>
        <v>4.5941996062326077E-3</v>
      </c>
      <c r="Q40">
        <f t="shared" si="2"/>
        <v>0.1564890337298632</v>
      </c>
      <c r="R40">
        <f t="shared" si="2"/>
        <v>7.4061301961472648E-2</v>
      </c>
      <c r="S40">
        <f t="shared" si="2"/>
        <v>7.2474256370445883E-2</v>
      </c>
      <c r="T40">
        <f t="shared" si="2"/>
        <v>5.7195634712600301</v>
      </c>
      <c r="U40">
        <f t="shared" si="2"/>
        <v>5.9557855563857656</v>
      </c>
      <c r="V40">
        <f t="shared" si="2"/>
        <v>2.6890103817522607E-2</v>
      </c>
      <c r="X40">
        <f t="shared" si="2"/>
        <v>1.965231962090163E-2</v>
      </c>
      <c r="Y40">
        <f t="shared" si="2"/>
        <v>7.816819340517303</v>
      </c>
      <c r="Z40">
        <f t="shared" si="2"/>
        <v>0.19856653359562221</v>
      </c>
      <c r="AA40">
        <f t="shared" si="2"/>
        <v>0.1083230485337789</v>
      </c>
      <c r="AB40">
        <f t="shared" si="2"/>
        <v>0.10653726699845176</v>
      </c>
      <c r="AC40">
        <f t="shared" si="2"/>
        <v>7.3664788928554169E-4</v>
      </c>
      <c r="AD40">
        <f t="shared" si="2"/>
        <v>3.3316640619318785E-2</v>
      </c>
      <c r="AE40">
        <f t="shared" si="2"/>
        <v>1.9422625591318198E-2</v>
      </c>
      <c r="AF40">
        <f t="shared" si="2"/>
        <v>3.5861100962736108E-4</v>
      </c>
      <c r="AG40">
        <f t="shared" si="2"/>
        <v>7.952205306371817</v>
      </c>
      <c r="AH40">
        <f t="shared" si="2"/>
        <v>1.2788046089001449E-2</v>
      </c>
      <c r="AI40">
        <f t="shared" si="2"/>
        <v>2.8855192119172979E-2</v>
      </c>
      <c r="AJ40">
        <f t="shared" si="2"/>
        <v>2.628633858844738E-3</v>
      </c>
      <c r="AK40">
        <f t="shared" si="2"/>
        <v>9.4404029687598645E-3</v>
      </c>
      <c r="AL40">
        <f t="shared" si="2"/>
        <v>1.9074744035138876E-3</v>
      </c>
      <c r="AM40">
        <f t="shared" si="2"/>
        <v>5.1378220436286361E-4</v>
      </c>
      <c r="AN40">
        <f t="shared" si="2"/>
        <v>1.7267730633089332E-3</v>
      </c>
      <c r="AO40">
        <f t="shared" si="2"/>
        <v>2.4345661562222862E-4</v>
      </c>
      <c r="AP40">
        <f t="shared" si="2"/>
        <v>1.3442466562621049E-3</v>
      </c>
      <c r="AQ40">
        <f t="shared" si="2"/>
        <v>2.1159350145575956E-4</v>
      </c>
      <c r="AR40">
        <f t="shared" si="2"/>
        <v>5.9925712323072951E-4</v>
      </c>
      <c r="AS40">
        <f t="shared" si="2"/>
        <v>1.1484013782324532E-4</v>
      </c>
      <c r="AT40">
        <f t="shared" si="2"/>
        <v>4.7077459066163769E-4</v>
      </c>
      <c r="AU40">
        <f t="shared" si="2"/>
        <v>7.9675421949171457E-5</v>
      </c>
      <c r="AV40">
        <f t="shared" si="2"/>
        <v>5.8591312961745537E-2</v>
      </c>
      <c r="AW40">
        <f t="shared" si="2"/>
        <v>4.4215333575822843E-2</v>
      </c>
      <c r="AX40">
        <f t="shared" si="2"/>
        <v>1.7441285351715966E-4</v>
      </c>
      <c r="AY40">
        <f t="shared" si="2"/>
        <v>1.9481368089874234E-4</v>
      </c>
      <c r="AZ40">
        <f t="shared" si="2"/>
        <v>0.32453581717262314</v>
      </c>
      <c r="BA40">
        <f t="shared" si="2"/>
        <v>0.30003669959385093</v>
      </c>
      <c r="BB40">
        <f t="shared" si="2"/>
        <v>0.31053991282099164</v>
      </c>
      <c r="BC40">
        <f t="shared" si="2"/>
        <v>3.1807834330873204E-2</v>
      </c>
      <c r="BD40">
        <f t="shared" si="2"/>
        <v>2.2533570935546576E-3</v>
      </c>
    </row>
    <row r="41" spans="1:57" x14ac:dyDescent="0.3">
      <c r="B41" t="s">
        <v>67</v>
      </c>
      <c r="C41">
        <f t="shared" ref="C41:E41" si="3">_xlfn.STDEV.P(C8:C34)</f>
        <v>25.431507099727167</v>
      </c>
      <c r="D41">
        <f t="shared" si="3"/>
        <v>21.589673843628542</v>
      </c>
      <c r="E41">
        <f t="shared" si="3"/>
        <v>2.4933466845433019</v>
      </c>
      <c r="F41">
        <f>_xlfn.STDEV.P(F8:F34)</f>
        <v>585.30816209907539</v>
      </c>
      <c r="G41">
        <f t="shared" ref="G41:BC41" si="4">_xlfn.STDEV.P(G8:G34)</f>
        <v>2.0958207564884535</v>
      </c>
      <c r="H41">
        <f t="shared" si="4"/>
        <v>1018.81166046722</v>
      </c>
      <c r="I41">
        <f t="shared" si="4"/>
        <v>962.51687423802753</v>
      </c>
      <c r="J41">
        <f t="shared" si="4"/>
        <v>0.35077825628015458</v>
      </c>
      <c r="K41">
        <f t="shared" si="4"/>
        <v>2.6819147928997091E-3</v>
      </c>
      <c r="L41">
        <f t="shared" si="4"/>
        <v>4.0547458329608987E-2</v>
      </c>
      <c r="M41">
        <f t="shared" si="4"/>
        <v>0.2364151999421174</v>
      </c>
      <c r="N41">
        <f t="shared" si="4"/>
        <v>3.5347822126353039</v>
      </c>
      <c r="O41">
        <f t="shared" si="4"/>
        <v>3.5958945179807675</v>
      </c>
      <c r="P41">
        <f t="shared" si="4"/>
        <v>7.7910221843146719E-4</v>
      </c>
      <c r="Q41">
        <f t="shared" si="4"/>
        <v>3.3247687762940563E-2</v>
      </c>
      <c r="R41">
        <f t="shared" si="4"/>
        <v>1.2417872568363972E-2</v>
      </c>
      <c r="S41">
        <f t="shared" si="4"/>
        <v>1.1253135024477333E-2</v>
      </c>
      <c r="T41">
        <f t="shared" si="4"/>
        <v>0.50628325073689695</v>
      </c>
      <c r="U41">
        <f t="shared" si="4"/>
        <v>0.5431747901760664</v>
      </c>
      <c r="V41">
        <f t="shared" si="4"/>
        <v>1.7261398520268811E-3</v>
      </c>
      <c r="X41">
        <f t="shared" si="4"/>
        <v>4.4685538866364692E-3</v>
      </c>
      <c r="Y41">
        <f t="shared" si="4"/>
        <v>0.56581152889835618</v>
      </c>
      <c r="Z41">
        <f t="shared" si="4"/>
        <v>0.11543062428468648</v>
      </c>
      <c r="AA41">
        <f t="shared" si="4"/>
        <v>2.3193257980432865E-2</v>
      </c>
      <c r="AB41">
        <f t="shared" si="4"/>
        <v>2.1690923289329794E-2</v>
      </c>
      <c r="AC41">
        <f t="shared" si="4"/>
        <v>4.3678363550713075E-4</v>
      </c>
      <c r="AD41">
        <f t="shared" si="4"/>
        <v>5.9882808187847102E-2</v>
      </c>
      <c r="AE41">
        <f t="shared" si="4"/>
        <v>1.3001823845354922E-3</v>
      </c>
      <c r="AF41">
        <f t="shared" si="4"/>
        <v>1.112536849395401E-4</v>
      </c>
      <c r="AG41">
        <f t="shared" si="4"/>
        <v>0.6546769400621073</v>
      </c>
      <c r="AH41">
        <f t="shared" si="4"/>
        <v>9.8795961532156416E-4</v>
      </c>
      <c r="AI41">
        <f t="shared" si="4"/>
        <v>5.9360448478452642E-3</v>
      </c>
      <c r="AJ41">
        <f t="shared" si="4"/>
        <v>2.8256964940764077E-4</v>
      </c>
      <c r="AK41">
        <f t="shared" si="4"/>
        <v>1.0229347693792913E-3</v>
      </c>
      <c r="AL41">
        <f t="shared" si="4"/>
        <v>3.2380106219336122E-4</v>
      </c>
      <c r="AM41">
        <f t="shared" si="4"/>
        <v>5.698214591196768E-5</v>
      </c>
      <c r="AN41">
        <f t="shared" si="4"/>
        <v>1.8927832397031008E-4</v>
      </c>
      <c r="AO41">
        <f t="shared" si="4"/>
        <v>3.0771784437162661E-5</v>
      </c>
      <c r="AP41">
        <f t="shared" si="4"/>
        <v>1.8743540021459891E-4</v>
      </c>
      <c r="AQ41">
        <f t="shared" si="4"/>
        <v>2.1103254009839666E-5</v>
      </c>
      <c r="AR41">
        <f t="shared" si="4"/>
        <v>1.8980718516847377E-4</v>
      </c>
      <c r="AS41">
        <f t="shared" si="4"/>
        <v>2.9050216957472927E-5</v>
      </c>
      <c r="AT41">
        <f t="shared" si="4"/>
        <v>1.5976485030099144E-4</v>
      </c>
      <c r="AU41">
        <f t="shared" si="4"/>
        <v>3.7705491428410481E-6</v>
      </c>
      <c r="AV41">
        <f t="shared" si="4"/>
        <v>0.19491939259539853</v>
      </c>
      <c r="AW41">
        <f t="shared" si="4"/>
        <v>0.38514758621034489</v>
      </c>
      <c r="AX41">
        <f t="shared" si="4"/>
        <v>1.1209944546326782E-4</v>
      </c>
      <c r="AY41">
        <f t="shared" si="4"/>
        <v>7.4714533595144662E-5</v>
      </c>
      <c r="AZ41">
        <f t="shared" si="4"/>
        <v>1.7218275372454024E-2</v>
      </c>
      <c r="BA41">
        <f t="shared" si="4"/>
        <v>1.5395417641764469E-2</v>
      </c>
      <c r="BB41">
        <f t="shared" si="4"/>
        <v>1.7047853363406008E-2</v>
      </c>
      <c r="BC41">
        <f t="shared" si="4"/>
        <v>8.429826256584412E-2</v>
      </c>
      <c r="BD41">
        <f>_xlfn.STDEV.P(BD8:BD34)</f>
        <v>2.9472429314469521E-4</v>
      </c>
    </row>
    <row r="42" spans="1:57" x14ac:dyDescent="0.3">
      <c r="B42" t="s">
        <v>68</v>
      </c>
      <c r="C42" s="17">
        <f>C41/C39</f>
        <v>0.11473924994730297</v>
      </c>
      <c r="D42" s="17">
        <f t="shared" ref="D42:BD42" si="5">D41/D39</f>
        <v>9.6193226087053926E-2</v>
      </c>
      <c r="E42" s="17">
        <f t="shared" si="5"/>
        <v>0.20503973750075882</v>
      </c>
      <c r="F42" s="21">
        <f t="shared" si="5"/>
        <v>9.6969252547842277E-2</v>
      </c>
      <c r="G42" s="17">
        <f t="shared" si="5"/>
        <v>0.32476335305461118</v>
      </c>
      <c r="H42" s="17">
        <f t="shared" si="5"/>
        <v>7.6103882103191189E-2</v>
      </c>
      <c r="I42" s="21">
        <f t="shared" si="5"/>
        <v>7.4310475877903598E-2</v>
      </c>
      <c r="J42" s="17">
        <f t="shared" si="5"/>
        <v>0.47295447265294493</v>
      </c>
      <c r="K42" s="17">
        <f t="shared" si="5"/>
        <v>0.12166537520222269</v>
      </c>
      <c r="L42" s="17">
        <f t="shared" si="5"/>
        <v>0.41679814047493308</v>
      </c>
      <c r="M42" s="17">
        <f t="shared" si="5"/>
        <v>0.32388603784239256</v>
      </c>
      <c r="N42" s="17">
        <f t="shared" si="5"/>
        <v>0.21205754027969145</v>
      </c>
      <c r="O42" s="17">
        <f t="shared" si="5"/>
        <v>0.21113171874110626</v>
      </c>
      <c r="P42" s="17">
        <f t="shared" si="5"/>
        <v>0.17424336319940648</v>
      </c>
      <c r="Q42" s="17">
        <f t="shared" si="5"/>
        <v>0.23812877536945479</v>
      </c>
      <c r="R42" s="17">
        <f t="shared" si="5"/>
        <v>0.17445757327391423</v>
      </c>
      <c r="S42" s="17">
        <f t="shared" si="5"/>
        <v>0.15805441803977738</v>
      </c>
      <c r="T42" s="17">
        <f t="shared" si="5"/>
        <v>8.9694389329071034E-2</v>
      </c>
      <c r="U42" s="17">
        <f t="shared" si="5"/>
        <v>9.2359462017212374E-2</v>
      </c>
      <c r="V42" s="17">
        <f t="shared" si="5"/>
        <v>6.4192383329589944E-2</v>
      </c>
      <c r="W42" s="17"/>
      <c r="X42" s="21">
        <f t="shared" si="5"/>
        <v>0.21621423508236901</v>
      </c>
      <c r="Y42" s="21">
        <f t="shared" si="5"/>
        <v>7.2504254173667224E-2</v>
      </c>
      <c r="Z42" s="17">
        <f t="shared" si="5"/>
        <v>0.51982291091060939</v>
      </c>
      <c r="AA42" s="17">
        <f t="shared" si="5"/>
        <v>0.22836289110490476</v>
      </c>
      <c r="AB42" s="17">
        <f t="shared" si="5"/>
        <v>0.21128690992034746</v>
      </c>
      <c r="AC42" s="17">
        <f t="shared" si="5"/>
        <v>0.4554541540621192</v>
      </c>
      <c r="AD42" s="17">
        <f t="shared" si="5"/>
        <v>1.0462163115838703</v>
      </c>
      <c r="AE42" s="17">
        <f t="shared" si="5"/>
        <v>6.5748445869746597E-2</v>
      </c>
      <c r="AF42" s="17">
        <f t="shared" si="5"/>
        <v>0.28518154838212267</v>
      </c>
      <c r="AG42" s="17">
        <f t="shared" si="5"/>
        <v>8.280317852489219E-2</v>
      </c>
      <c r="AH42" s="17">
        <f t="shared" si="5"/>
        <v>7.8583144137181662E-2</v>
      </c>
      <c r="AI42" s="21">
        <f t="shared" si="5"/>
        <v>0.19717898238393469</v>
      </c>
      <c r="AJ42" s="17">
        <f t="shared" si="5"/>
        <v>0.10885025432841114</v>
      </c>
      <c r="AK42" s="21">
        <f t="shared" si="5"/>
        <v>0.10619687149557606</v>
      </c>
      <c r="AL42" s="17">
        <f t="shared" si="5"/>
        <v>0.16839358747260388</v>
      </c>
      <c r="AM42" s="17">
        <f t="shared" si="5"/>
        <v>0.11470791641171887</v>
      </c>
      <c r="AN42" s="17">
        <f t="shared" si="5"/>
        <v>0.10715192693124197</v>
      </c>
      <c r="AO42" s="17">
        <f t="shared" si="5"/>
        <v>0.12842153183139374</v>
      </c>
      <c r="AP42" s="21">
        <f t="shared" si="5"/>
        <v>0.1383039958926813</v>
      </c>
      <c r="AQ42" s="17">
        <f t="shared" si="5"/>
        <v>9.7472846274187827E-2</v>
      </c>
      <c r="AR42" s="17">
        <f t="shared" si="5"/>
        <v>0.27175455186892711</v>
      </c>
      <c r="AS42" s="17">
        <f t="shared" si="5"/>
        <v>0.25323918195228995</v>
      </c>
      <c r="AT42" s="21">
        <f t="shared" si="5"/>
        <v>0.30210188247269459</v>
      </c>
      <c r="AU42" s="17">
        <f t="shared" si="5"/>
        <v>4.6811485900706655E-2</v>
      </c>
      <c r="AV42" s="17">
        <f t="shared" si="5"/>
        <v>1.6982756922082192</v>
      </c>
      <c r="AW42" s="17">
        <f t="shared" si="5"/>
        <v>1.376778457423806</v>
      </c>
      <c r="AX42" s="17">
        <f t="shared" si="5"/>
        <v>0.64272467999176952</v>
      </c>
      <c r="AY42" s="17">
        <f t="shared" si="5"/>
        <v>0.33180710064642033</v>
      </c>
      <c r="AZ42" s="17">
        <f t="shared" si="5"/>
        <v>5.3609733222785991E-2</v>
      </c>
      <c r="BA42" s="17">
        <f t="shared" si="5"/>
        <v>5.1893625450892204E-2</v>
      </c>
      <c r="BB42" s="21">
        <f t="shared" si="5"/>
        <v>5.5587924655303163E-2</v>
      </c>
      <c r="BC42" s="21">
        <f t="shared" si="5"/>
        <v>1.4277733377225128</v>
      </c>
      <c r="BD42" s="21">
        <f t="shared" si="5"/>
        <v>0.13302724965676263</v>
      </c>
    </row>
    <row r="43" spans="1:57" x14ac:dyDescent="0.3">
      <c r="B43" t="s">
        <v>102</v>
      </c>
      <c r="C43" s="20">
        <f>COUNT(C8:C34)</f>
        <v>27</v>
      </c>
      <c r="D43" s="20">
        <f t="shared" ref="D43:BC43" si="6">COUNT(D8:D34)</f>
        <v>27</v>
      </c>
      <c r="E43" s="20">
        <f t="shared" si="6"/>
        <v>27</v>
      </c>
      <c r="F43" s="20">
        <f t="shared" si="6"/>
        <v>27</v>
      </c>
      <c r="G43" s="20">
        <f t="shared" si="6"/>
        <v>9</v>
      </c>
      <c r="H43" s="20">
        <f t="shared" si="6"/>
        <v>27</v>
      </c>
      <c r="I43" s="20">
        <f t="shared" si="6"/>
        <v>27</v>
      </c>
      <c r="J43" s="20">
        <f t="shared" si="6"/>
        <v>17</v>
      </c>
      <c r="K43" s="20">
        <f t="shared" si="6"/>
        <v>27</v>
      </c>
      <c r="L43" s="20">
        <f t="shared" si="6"/>
        <v>27</v>
      </c>
      <c r="M43" s="20">
        <f t="shared" si="6"/>
        <v>27</v>
      </c>
      <c r="N43" s="20">
        <f t="shared" si="6"/>
        <v>27</v>
      </c>
      <c r="O43" s="20">
        <f t="shared" si="6"/>
        <v>27</v>
      </c>
      <c r="P43" s="20">
        <f t="shared" si="6"/>
        <v>10</v>
      </c>
      <c r="Q43" s="20">
        <f t="shared" si="6"/>
        <v>25</v>
      </c>
      <c r="R43" s="20">
        <f t="shared" si="6"/>
        <v>27</v>
      </c>
      <c r="S43" s="20">
        <f t="shared" si="6"/>
        <v>27</v>
      </c>
      <c r="T43" s="20">
        <f t="shared" si="6"/>
        <v>27</v>
      </c>
      <c r="U43" s="20">
        <f t="shared" si="6"/>
        <v>27</v>
      </c>
      <c r="V43" s="20">
        <f t="shared" si="6"/>
        <v>2</v>
      </c>
      <c r="W43" s="20">
        <f t="shared" si="6"/>
        <v>0</v>
      </c>
      <c r="X43" s="20">
        <f t="shared" si="6"/>
        <v>26</v>
      </c>
      <c r="Y43" s="20">
        <f t="shared" si="6"/>
        <v>27</v>
      </c>
      <c r="Z43" s="20">
        <f t="shared" si="6"/>
        <v>24</v>
      </c>
      <c r="AA43" s="20">
        <f t="shared" si="6"/>
        <v>7</v>
      </c>
      <c r="AB43" s="20">
        <f t="shared" si="6"/>
        <v>6</v>
      </c>
      <c r="AC43" s="20">
        <f t="shared" si="6"/>
        <v>4</v>
      </c>
      <c r="AD43" s="20">
        <f t="shared" si="6"/>
        <v>6</v>
      </c>
      <c r="AE43" s="20">
        <f t="shared" si="6"/>
        <v>14</v>
      </c>
      <c r="AF43" s="20">
        <f t="shared" si="6"/>
        <v>16</v>
      </c>
      <c r="AG43" s="20">
        <f t="shared" si="6"/>
        <v>27</v>
      </c>
      <c r="AH43" s="20">
        <f t="shared" si="6"/>
        <v>27</v>
      </c>
      <c r="AI43" s="20">
        <f t="shared" si="6"/>
        <v>27</v>
      </c>
      <c r="AJ43" s="20">
        <f t="shared" si="6"/>
        <v>27</v>
      </c>
      <c r="AK43" s="20">
        <f t="shared" si="6"/>
        <v>27</v>
      </c>
      <c r="AL43" s="20">
        <f t="shared" si="6"/>
        <v>27</v>
      </c>
      <c r="AM43" s="20">
        <f t="shared" si="6"/>
        <v>13</v>
      </c>
      <c r="AN43" s="20">
        <f t="shared" si="6"/>
        <v>26</v>
      </c>
      <c r="AO43" s="20">
        <f t="shared" si="6"/>
        <v>8</v>
      </c>
      <c r="AP43" s="20">
        <f t="shared" si="6"/>
        <v>16</v>
      </c>
      <c r="AQ43" s="20">
        <f t="shared" si="6"/>
        <v>4</v>
      </c>
      <c r="AR43" s="20">
        <f t="shared" si="6"/>
        <v>5</v>
      </c>
      <c r="AS43" s="20">
        <f t="shared" si="6"/>
        <v>5</v>
      </c>
      <c r="AT43" s="20">
        <f t="shared" si="6"/>
        <v>5</v>
      </c>
      <c r="AU43" s="20">
        <f t="shared" si="6"/>
        <v>3</v>
      </c>
      <c r="AV43" s="20">
        <f t="shared" si="6"/>
        <v>17</v>
      </c>
      <c r="AW43" s="20">
        <f t="shared" si="6"/>
        <v>20</v>
      </c>
      <c r="AX43" s="20">
        <f t="shared" si="6"/>
        <v>2</v>
      </c>
      <c r="AY43" s="20">
        <f t="shared" si="6"/>
        <v>4</v>
      </c>
      <c r="AZ43" s="20">
        <f t="shared" si="6"/>
        <v>24</v>
      </c>
      <c r="BA43" s="20">
        <f t="shared" si="6"/>
        <v>24</v>
      </c>
      <c r="BB43" s="20">
        <f t="shared" si="6"/>
        <v>24</v>
      </c>
      <c r="BC43" s="20">
        <f t="shared" si="6"/>
        <v>14</v>
      </c>
      <c r="BD43" s="20">
        <f>COUNT(BD8:BD34)</f>
        <v>11</v>
      </c>
    </row>
    <row r="45" spans="1:57" x14ac:dyDescent="0.3">
      <c r="A45" s="16" t="s">
        <v>101</v>
      </c>
    </row>
    <row r="46" spans="1:57" x14ac:dyDescent="0.3">
      <c r="A46" s="15" t="s">
        <v>97</v>
      </c>
      <c r="B46" t="s">
        <v>66</v>
      </c>
      <c r="C46">
        <f>AVERAGE(C4:C6)</f>
        <v>3382.8114272798825</v>
      </c>
      <c r="D46">
        <f t="shared" ref="D46:BD46" si="7">AVERAGE(D4:D6)</f>
        <v>3019.5885786235135</v>
      </c>
      <c r="E46" t="e">
        <f t="shared" si="7"/>
        <v>#DIV/0!</v>
      </c>
      <c r="F46">
        <f t="shared" si="7"/>
        <v>105770.22919442297</v>
      </c>
      <c r="H46">
        <f t="shared" si="7"/>
        <v>225318.56350291605</v>
      </c>
      <c r="I46">
        <f t="shared" si="7"/>
        <v>206316.79439892189</v>
      </c>
      <c r="K46">
        <f t="shared" si="7"/>
        <v>0.32389453388988837</v>
      </c>
      <c r="M46">
        <f t="shared" si="7"/>
        <v>6.9466696292001373</v>
      </c>
      <c r="N46">
        <f t="shared" si="7"/>
        <v>147.431576289746</v>
      </c>
      <c r="O46">
        <f t="shared" si="7"/>
        <v>146.44045823682185</v>
      </c>
      <c r="X46">
        <f t="shared" si="7"/>
        <v>0.23049230057716016</v>
      </c>
      <c r="Y46">
        <f t="shared" si="7"/>
        <v>132.26843760201197</v>
      </c>
      <c r="Z46">
        <f t="shared" si="7"/>
        <v>4.2527552000777193</v>
      </c>
      <c r="AA46">
        <f t="shared" si="7"/>
        <v>2.209986950669709</v>
      </c>
      <c r="AB46">
        <f t="shared" si="7"/>
        <v>2.2066568673684022</v>
      </c>
      <c r="AC46">
        <f t="shared" si="7"/>
        <v>2.1529483692349842</v>
      </c>
      <c r="AG46">
        <f t="shared" si="7"/>
        <v>136.09997041216187</v>
      </c>
      <c r="AI46">
        <f t="shared" si="7"/>
        <v>0.27055381841279363</v>
      </c>
      <c r="AJ46">
        <f t="shared" si="7"/>
        <v>2.561205074467322E-2</v>
      </c>
      <c r="AK46">
        <f t="shared" si="7"/>
        <v>0.10220816945014445</v>
      </c>
      <c r="AL46">
        <f t="shared" si="7"/>
        <v>2.1461418036161851E-2</v>
      </c>
      <c r="AM46">
        <f t="shared" si="7"/>
        <v>7.0649996735633854E-3</v>
      </c>
      <c r="AN46">
        <f t="shared" si="7"/>
        <v>2.2337043731330792E-2</v>
      </c>
      <c r="AO46">
        <f t="shared" si="7"/>
        <v>3.3347272171459518E-3</v>
      </c>
      <c r="AP46">
        <f t="shared" si="7"/>
        <v>1.9981182747371509E-2</v>
      </c>
      <c r="AQ46">
        <f t="shared" si="7"/>
        <v>4.0111985791439807E-3</v>
      </c>
      <c r="AR46">
        <f t="shared" si="7"/>
        <v>1.0639290297882603E-2</v>
      </c>
      <c r="AS46">
        <f t="shared" si="7"/>
        <v>1.4154816570241125E-3</v>
      </c>
      <c r="AT46">
        <f t="shared" si="7"/>
        <v>8.6337772554902336E-3</v>
      </c>
      <c r="AU46">
        <f t="shared" si="7"/>
        <v>1.0930973211042549E-3</v>
      </c>
      <c r="AZ46">
        <f t="shared" si="7"/>
        <v>4.862142678328321</v>
      </c>
      <c r="BA46">
        <f t="shared" si="7"/>
        <v>4.495077211378649</v>
      </c>
      <c r="BB46">
        <f t="shared" si="7"/>
        <v>4.5072371412234888</v>
      </c>
      <c r="BD46">
        <f t="shared" si="7"/>
        <v>2.9535605637428641E-2</v>
      </c>
    </row>
    <row r="47" spans="1:57" x14ac:dyDescent="0.3">
      <c r="A47" s="15" t="s">
        <v>97</v>
      </c>
      <c r="B47" t="s">
        <v>67</v>
      </c>
      <c r="C47">
        <f>_xlfn.STDEV.P(C4:C6)</f>
        <v>22.271589767900178</v>
      </c>
      <c r="D47">
        <f t="shared" ref="D47:BD47" si="8">_xlfn.STDEV.P(D4:D6)</f>
        <v>5.0827219439389095</v>
      </c>
      <c r="E47" t="e">
        <f t="shared" si="8"/>
        <v>#DIV/0!</v>
      </c>
      <c r="F47">
        <f t="shared" si="8"/>
        <v>237.49833511579814</v>
      </c>
      <c r="H47">
        <f t="shared" si="8"/>
        <v>562.14288890524767</v>
      </c>
      <c r="I47">
        <f t="shared" si="8"/>
        <v>544.28579990548531</v>
      </c>
      <c r="K47">
        <f t="shared" si="8"/>
        <v>8.3760689850044343E-3</v>
      </c>
      <c r="M47">
        <f t="shared" si="8"/>
        <v>2.8858461238157451E-2</v>
      </c>
      <c r="N47">
        <f t="shared" si="8"/>
        <v>0.82204378199713246</v>
      </c>
      <c r="O47">
        <f t="shared" si="8"/>
        <v>0.35620732107091679</v>
      </c>
      <c r="X47">
        <f t="shared" si="8"/>
        <v>1.279698678367017E-3</v>
      </c>
      <c r="Y47">
        <f t="shared" si="8"/>
        <v>0.37764789630372281</v>
      </c>
      <c r="Z47">
        <f t="shared" si="8"/>
        <v>8.5327669411333754E-2</v>
      </c>
      <c r="AA47">
        <f t="shared" si="8"/>
        <v>1.1632036814798703E-2</v>
      </c>
      <c r="AB47">
        <f t="shared" si="8"/>
        <v>7.6094126242651477E-3</v>
      </c>
      <c r="AC47">
        <f t="shared" si="8"/>
        <v>1.3537564840290056E-2</v>
      </c>
      <c r="AG47">
        <f t="shared" si="8"/>
        <v>0.27304992293720737</v>
      </c>
      <c r="AI47">
        <f t="shared" si="8"/>
        <v>2.6067087372879743E-3</v>
      </c>
      <c r="AJ47">
        <f t="shared" si="8"/>
        <v>3.8606909035080025E-4</v>
      </c>
      <c r="AK47">
        <f t="shared" si="8"/>
        <v>1.3363955361296923E-3</v>
      </c>
      <c r="AL47">
        <f t="shared" si="8"/>
        <v>6.4274904436189314E-4</v>
      </c>
      <c r="AM47">
        <f t="shared" si="8"/>
        <v>9.6518475476281448E-5</v>
      </c>
      <c r="AN47">
        <f t="shared" si="8"/>
        <v>4.5055381908866535E-4</v>
      </c>
      <c r="AO47">
        <f t="shared" si="8"/>
        <v>7.5428164158161331E-5</v>
      </c>
      <c r="AP47">
        <f t="shared" si="8"/>
        <v>1.3955138508018312E-4</v>
      </c>
      <c r="AQ47">
        <f t="shared" si="8"/>
        <v>5.4641579857098685E-5</v>
      </c>
      <c r="AR47">
        <f t="shared" si="8"/>
        <v>7.23785301901554E-5</v>
      </c>
      <c r="AS47">
        <f t="shared" si="8"/>
        <v>1.0429706417786679E-4</v>
      </c>
      <c r="AT47">
        <f t="shared" si="8"/>
        <v>1.2864997323310993E-4</v>
      </c>
      <c r="AU47">
        <f t="shared" si="8"/>
        <v>2.7318000920889804E-5</v>
      </c>
      <c r="AZ47">
        <f t="shared" si="8"/>
        <v>1.1724462955063365E-2</v>
      </c>
      <c r="BA47">
        <f t="shared" si="8"/>
        <v>1.9642901111613459E-2</v>
      </c>
      <c r="BB47">
        <f t="shared" si="8"/>
        <v>1.0519289043782031E-2</v>
      </c>
      <c r="BD47">
        <f t="shared" si="8"/>
        <v>3.5955117290524443E-4</v>
      </c>
    </row>
    <row r="48" spans="1:57" x14ac:dyDescent="0.3">
      <c r="A48" s="15" t="s">
        <v>97</v>
      </c>
      <c r="B48" t="s">
        <v>68</v>
      </c>
      <c r="C48" s="17">
        <v>8.0634158694168189E-3</v>
      </c>
      <c r="D48" s="17">
        <v>2.0615515893845264E-3</v>
      </c>
      <c r="E48" s="17"/>
      <c r="F48" s="17">
        <v>2.7500637004618678E-3</v>
      </c>
      <c r="G48" s="17"/>
      <c r="H48" s="17">
        <v>3.055592089140244E-3</v>
      </c>
      <c r="I48" s="17">
        <v>3.2310081394372188E-3</v>
      </c>
      <c r="J48" s="17"/>
      <c r="K48" s="17">
        <v>3.1672493538572169E-2</v>
      </c>
      <c r="L48" s="17"/>
      <c r="M48" s="17">
        <v>5.0879420332755861E-3</v>
      </c>
      <c r="N48" s="17">
        <v>6.82888924745463E-3</v>
      </c>
      <c r="O48" s="17">
        <v>2.9791158460336334E-3</v>
      </c>
      <c r="P48" s="17"/>
      <c r="Q48" s="17"/>
      <c r="R48" s="17"/>
      <c r="S48" s="17"/>
      <c r="T48" s="17"/>
      <c r="U48" s="17"/>
      <c r="V48" s="17"/>
      <c r="W48" s="17"/>
      <c r="X48" s="17">
        <v>6.7998123552587995E-3</v>
      </c>
      <c r="Y48" s="17">
        <v>3.4968457522837758E-3</v>
      </c>
      <c r="Z48" s="17">
        <v>2.4573393149320742E-2</v>
      </c>
      <c r="AA48" s="17">
        <v>6.446317444745866E-3</v>
      </c>
      <c r="AB48" s="17">
        <v>4.2233974949559949E-3</v>
      </c>
      <c r="AC48" s="17">
        <v>7.7010964806219686E-3</v>
      </c>
      <c r="AD48" s="17"/>
      <c r="AE48" s="17"/>
      <c r="AF48" s="17"/>
      <c r="AG48" s="17">
        <v>2.4571386146409473E-3</v>
      </c>
      <c r="AH48" s="17"/>
      <c r="AI48" s="17">
        <v>1.1800066899570047E-2</v>
      </c>
      <c r="AJ48" s="17">
        <v>1.8461471247408753E-2</v>
      </c>
      <c r="AK48" s="17">
        <v>1.6013823433398165E-2</v>
      </c>
      <c r="AL48" s="17">
        <v>3.667994325200967E-2</v>
      </c>
      <c r="AM48" s="17">
        <v>1.6731849015711071E-2</v>
      </c>
      <c r="AN48" s="17">
        <v>2.4703961985835309E-2</v>
      </c>
      <c r="AO48" s="17">
        <v>2.7702492946411136E-2</v>
      </c>
      <c r="AP48" s="17">
        <v>8.5537901000895741E-3</v>
      </c>
      <c r="AQ48" s="17">
        <v>1.6683789988028271E-2</v>
      </c>
      <c r="AR48" s="17">
        <v>8.3318746990949186E-3</v>
      </c>
      <c r="AS48" s="17">
        <v>9.0242988186505196E-2</v>
      </c>
      <c r="AT48" s="17">
        <v>1.824964789562086E-2</v>
      </c>
      <c r="AU48" s="17">
        <v>3.0608053719069959E-2</v>
      </c>
      <c r="AV48" s="17"/>
      <c r="AW48" s="17"/>
      <c r="AX48" s="17"/>
      <c r="AY48" s="17"/>
      <c r="AZ48" s="17">
        <v>2.9533226036409814E-3</v>
      </c>
      <c r="BA48" s="17">
        <v>5.3519753420035766E-3</v>
      </c>
      <c r="BB48" s="17">
        <v>2.8583908286575234E-3</v>
      </c>
      <c r="BC48" s="17"/>
      <c r="BD48" s="17">
        <v>1.4909410032902444E-2</v>
      </c>
    </row>
    <row r="49" spans="1:56" x14ac:dyDescent="0.3">
      <c r="A49" s="15" t="s">
        <v>97</v>
      </c>
      <c r="B49" t="s">
        <v>102</v>
      </c>
      <c r="C49">
        <f>COUNT(C4:C6)</f>
        <v>3</v>
      </c>
      <c r="D49">
        <f t="shared" ref="D49:BD49" si="9">COUNT(D4:D6)</f>
        <v>3</v>
      </c>
      <c r="E49">
        <f t="shared" si="9"/>
        <v>0</v>
      </c>
      <c r="F49">
        <f t="shared" si="9"/>
        <v>3</v>
      </c>
      <c r="G49">
        <f t="shared" si="9"/>
        <v>0</v>
      </c>
      <c r="H49">
        <f t="shared" si="9"/>
        <v>3</v>
      </c>
      <c r="I49">
        <f t="shared" si="9"/>
        <v>3</v>
      </c>
      <c r="J49">
        <f t="shared" si="9"/>
        <v>0</v>
      </c>
      <c r="K49">
        <f t="shared" si="9"/>
        <v>3</v>
      </c>
      <c r="L49">
        <f t="shared" si="9"/>
        <v>0</v>
      </c>
      <c r="M49">
        <f t="shared" si="9"/>
        <v>3</v>
      </c>
      <c r="N49">
        <f t="shared" si="9"/>
        <v>3</v>
      </c>
      <c r="O49">
        <f t="shared" si="9"/>
        <v>3</v>
      </c>
      <c r="P49">
        <f t="shared" si="9"/>
        <v>0</v>
      </c>
      <c r="Q49">
        <f t="shared" si="9"/>
        <v>0</v>
      </c>
      <c r="R49">
        <f t="shared" si="9"/>
        <v>0</v>
      </c>
      <c r="S49">
        <f t="shared" si="9"/>
        <v>0</v>
      </c>
      <c r="T49">
        <f t="shared" si="9"/>
        <v>0</v>
      </c>
      <c r="U49">
        <f t="shared" si="9"/>
        <v>0</v>
      </c>
      <c r="V49">
        <f t="shared" si="9"/>
        <v>0</v>
      </c>
      <c r="W49">
        <f t="shared" si="9"/>
        <v>0</v>
      </c>
      <c r="X49">
        <f t="shared" si="9"/>
        <v>3</v>
      </c>
      <c r="Y49">
        <f t="shared" si="9"/>
        <v>3</v>
      </c>
      <c r="Z49">
        <f t="shared" si="9"/>
        <v>3</v>
      </c>
      <c r="AA49">
        <f t="shared" si="9"/>
        <v>3</v>
      </c>
      <c r="AB49">
        <f t="shared" si="9"/>
        <v>3</v>
      </c>
      <c r="AC49">
        <f t="shared" si="9"/>
        <v>3</v>
      </c>
      <c r="AD49">
        <f t="shared" si="9"/>
        <v>0</v>
      </c>
      <c r="AE49">
        <f t="shared" si="9"/>
        <v>0</v>
      </c>
      <c r="AF49">
        <f t="shared" si="9"/>
        <v>0</v>
      </c>
      <c r="AG49">
        <f t="shared" si="9"/>
        <v>3</v>
      </c>
      <c r="AH49">
        <f t="shared" si="9"/>
        <v>0</v>
      </c>
      <c r="AI49">
        <f t="shared" si="9"/>
        <v>3</v>
      </c>
      <c r="AJ49">
        <f t="shared" si="9"/>
        <v>3</v>
      </c>
      <c r="AK49">
        <f t="shared" si="9"/>
        <v>3</v>
      </c>
      <c r="AL49">
        <f t="shared" si="9"/>
        <v>3</v>
      </c>
      <c r="AM49">
        <f t="shared" si="9"/>
        <v>3</v>
      </c>
      <c r="AN49">
        <f t="shared" si="9"/>
        <v>3</v>
      </c>
      <c r="AO49">
        <f t="shared" si="9"/>
        <v>3</v>
      </c>
      <c r="AP49">
        <f t="shared" si="9"/>
        <v>3</v>
      </c>
      <c r="AQ49">
        <f t="shared" si="9"/>
        <v>3</v>
      </c>
      <c r="AR49">
        <f t="shared" si="9"/>
        <v>3</v>
      </c>
      <c r="AS49">
        <f t="shared" si="9"/>
        <v>3</v>
      </c>
      <c r="AT49">
        <f t="shared" si="9"/>
        <v>3</v>
      </c>
      <c r="AU49">
        <f t="shared" si="9"/>
        <v>3</v>
      </c>
      <c r="AV49">
        <f t="shared" si="9"/>
        <v>0</v>
      </c>
      <c r="AW49">
        <f t="shared" si="9"/>
        <v>0</v>
      </c>
      <c r="AX49">
        <f t="shared" si="9"/>
        <v>0</v>
      </c>
      <c r="AY49">
        <f t="shared" si="9"/>
        <v>0</v>
      </c>
      <c r="AZ49">
        <f t="shared" si="9"/>
        <v>3</v>
      </c>
      <c r="BA49">
        <f t="shared" si="9"/>
        <v>3</v>
      </c>
      <c r="BB49">
        <f t="shared" si="9"/>
        <v>3</v>
      </c>
      <c r="BC49">
        <f t="shared" si="9"/>
        <v>0</v>
      </c>
      <c r="BD49">
        <f t="shared" si="9"/>
        <v>3</v>
      </c>
    </row>
    <row r="51" spans="1:56" x14ac:dyDescent="0.3">
      <c r="A51" s="15" t="s">
        <v>103</v>
      </c>
      <c r="B51" t="s">
        <v>66</v>
      </c>
      <c r="C51">
        <f>AVERAGE(C8:C12)</f>
        <v>212.06957713153778</v>
      </c>
      <c r="D51">
        <f t="shared" ref="D51:BD51" si="10">AVERAGE(D8:D12)</f>
        <v>214.85051170922719</v>
      </c>
      <c r="E51">
        <f t="shared" si="10"/>
        <v>11.404027961213981</v>
      </c>
      <c r="F51">
        <f t="shared" si="10"/>
        <v>5911.8657715396866</v>
      </c>
      <c r="H51">
        <f t="shared" si="10"/>
        <v>13339.6119136445</v>
      </c>
      <c r="I51">
        <f t="shared" si="10"/>
        <v>12797.151523140881</v>
      </c>
      <c r="J51">
        <f t="shared" si="10"/>
        <v>0.4650978145289037</v>
      </c>
      <c r="K51">
        <f t="shared" si="10"/>
        <v>2.1411220794567771E-2</v>
      </c>
      <c r="L51">
        <f t="shared" si="10"/>
        <v>8.7232881590285236E-2</v>
      </c>
      <c r="M51">
        <f t="shared" si="10"/>
        <v>0.78255033959838127</v>
      </c>
      <c r="N51">
        <f t="shared" si="10"/>
        <v>19.543777730511014</v>
      </c>
      <c r="O51">
        <f t="shared" si="10"/>
        <v>20.078406193612636</v>
      </c>
      <c r="P51">
        <f t="shared" si="10"/>
        <v>4.91360751076215E-3</v>
      </c>
      <c r="Q51">
        <f t="shared" si="10"/>
        <v>0.16505616885540678</v>
      </c>
      <c r="R51">
        <f t="shared" si="10"/>
        <v>6.3199142649321971E-2</v>
      </c>
      <c r="S51">
        <f t="shared" si="10"/>
        <v>6.4802782188312161E-2</v>
      </c>
      <c r="T51">
        <f t="shared" si="10"/>
        <v>5.7056506885612226</v>
      </c>
      <c r="U51">
        <f t="shared" si="10"/>
        <v>5.9209543077768396</v>
      </c>
      <c r="X51">
        <f t="shared" si="10"/>
        <v>1.8285204171199006E-2</v>
      </c>
      <c r="Y51">
        <f t="shared" si="10"/>
        <v>7.7864489984898579</v>
      </c>
      <c r="Z51">
        <f t="shared" si="10"/>
        <v>0.15221846588319607</v>
      </c>
      <c r="AA51">
        <f t="shared" si="10"/>
        <v>6.4050529763492375E-2</v>
      </c>
      <c r="AB51">
        <f t="shared" si="10"/>
        <v>5.9538007583770432E-2</v>
      </c>
      <c r="AE51">
        <f t="shared" si="10"/>
        <v>2.1187962624689142E-2</v>
      </c>
      <c r="AF51">
        <f t="shared" si="10"/>
        <v>2.9180298451410655E-4</v>
      </c>
      <c r="AG51">
        <f t="shared" si="10"/>
        <v>7.9334155628439449</v>
      </c>
      <c r="AH51">
        <f t="shared" si="10"/>
        <v>1.195083233171374E-2</v>
      </c>
      <c r="AI51">
        <f t="shared" si="10"/>
        <v>2.49588641215105E-2</v>
      </c>
      <c r="AJ51">
        <f t="shared" si="10"/>
        <v>2.4604099053984999E-3</v>
      </c>
      <c r="AK51">
        <f t="shared" si="10"/>
        <v>9.3397178860572128E-3</v>
      </c>
      <c r="AL51">
        <f t="shared" si="10"/>
        <v>1.8861010020705868E-3</v>
      </c>
      <c r="AM51">
        <f t="shared" si="10"/>
        <v>5.0572588367871272E-4</v>
      </c>
      <c r="AN51">
        <f t="shared" si="10"/>
        <v>1.7381498599367631E-3</v>
      </c>
      <c r="AO51">
        <f t="shared" si="10"/>
        <v>2.2965765089273663E-4</v>
      </c>
      <c r="AP51">
        <f t="shared" si="10"/>
        <v>1.3517977987235999E-3</v>
      </c>
      <c r="AT51">
        <f t="shared" si="10"/>
        <v>7.2988573966500209E-4</v>
      </c>
      <c r="AV51">
        <f t="shared" si="10"/>
        <v>2.7003947679609945E-2</v>
      </c>
      <c r="AW51">
        <f t="shared" si="10"/>
        <v>0.1413722262372111</v>
      </c>
      <c r="AZ51">
        <f t="shared" si="10"/>
        <v>0.3234760680150176</v>
      </c>
      <c r="BA51">
        <f t="shared" si="10"/>
        <v>0.29955207259914285</v>
      </c>
      <c r="BB51">
        <f t="shared" si="10"/>
        <v>0.31018600337930807</v>
      </c>
      <c r="BC51">
        <f t="shared" si="10"/>
        <v>3.6915911625789277E-2</v>
      </c>
      <c r="BD51">
        <f t="shared" si="10"/>
        <v>1.9801603033326436E-3</v>
      </c>
    </row>
    <row r="52" spans="1:56" x14ac:dyDescent="0.3">
      <c r="A52" s="15" t="s">
        <v>103</v>
      </c>
      <c r="B52" t="s">
        <v>67</v>
      </c>
      <c r="C52">
        <f>_xlfn.STDEV.P(C8:C12)</f>
        <v>1.9213699177967849</v>
      </c>
      <c r="D52">
        <f t="shared" ref="D52:BD52" si="11">_xlfn.STDEV.P(D8:D12)</f>
        <v>1.0575461851498986</v>
      </c>
      <c r="E52">
        <f t="shared" si="11"/>
        <v>0.28433115016103733</v>
      </c>
      <c r="F52">
        <f t="shared" si="11"/>
        <v>43.664065152774164</v>
      </c>
      <c r="H52">
        <f t="shared" si="11"/>
        <v>93.298236217085901</v>
      </c>
      <c r="I52">
        <f t="shared" si="11"/>
        <v>83.133151928915694</v>
      </c>
      <c r="J52">
        <f t="shared" si="11"/>
        <v>7.7108246092181559E-2</v>
      </c>
      <c r="K52">
        <f t="shared" si="11"/>
        <v>8.6445670598167947E-4</v>
      </c>
      <c r="L52">
        <f t="shared" si="11"/>
        <v>6.736766267070848E-3</v>
      </c>
      <c r="M52">
        <f t="shared" si="11"/>
        <v>9.1158595723597642E-3</v>
      </c>
      <c r="N52">
        <f t="shared" si="11"/>
        <v>0.35365593146710061</v>
      </c>
      <c r="O52">
        <f t="shared" si="11"/>
        <v>0.24208351890100085</v>
      </c>
      <c r="P52">
        <f t="shared" si="11"/>
        <v>3.6317906538539245E-4</v>
      </c>
      <c r="Q52">
        <f t="shared" si="11"/>
        <v>3.6972006221268859E-3</v>
      </c>
      <c r="R52">
        <f t="shared" si="11"/>
        <v>1.4933302033080884E-3</v>
      </c>
      <c r="S52">
        <f t="shared" si="11"/>
        <v>3.1872045298930282E-3</v>
      </c>
      <c r="T52">
        <f t="shared" si="11"/>
        <v>6.4739085140536182E-2</v>
      </c>
      <c r="U52">
        <f t="shared" si="11"/>
        <v>6.6187383086743531E-2</v>
      </c>
      <c r="X52">
        <f t="shared" si="11"/>
        <v>1.5289028835433409E-3</v>
      </c>
      <c r="Y52">
        <f t="shared" si="11"/>
        <v>4.0328943790968234E-2</v>
      </c>
      <c r="Z52">
        <f t="shared" si="11"/>
        <v>3.1345211658172153E-2</v>
      </c>
      <c r="AA52">
        <f t="shared" si="11"/>
        <v>0</v>
      </c>
      <c r="AB52">
        <f t="shared" si="11"/>
        <v>0</v>
      </c>
      <c r="AE52">
        <f t="shared" si="11"/>
        <v>8.4664434396076766E-4</v>
      </c>
      <c r="AF52">
        <f t="shared" si="11"/>
        <v>2.4741578443148011E-5</v>
      </c>
      <c r="AG52">
        <f t="shared" si="11"/>
        <v>4.3954003609745107E-2</v>
      </c>
      <c r="AH52">
        <f t="shared" si="11"/>
        <v>1.2503073018137501E-4</v>
      </c>
      <c r="AI52">
        <f t="shared" si="11"/>
        <v>4.5197219952637565E-4</v>
      </c>
      <c r="AJ52">
        <f t="shared" si="11"/>
        <v>9.5988562524775068E-5</v>
      </c>
      <c r="AK52">
        <f t="shared" si="11"/>
        <v>2.5432723284761743E-4</v>
      </c>
      <c r="AL52">
        <f t="shared" si="11"/>
        <v>1.5001997551118728E-4</v>
      </c>
      <c r="AM52">
        <f t="shared" si="11"/>
        <v>4.5685993096958117E-5</v>
      </c>
      <c r="AN52">
        <f t="shared" si="11"/>
        <v>1.1519247759045283E-4</v>
      </c>
      <c r="AO52">
        <f t="shared" si="11"/>
        <v>5.8890394742623021E-6</v>
      </c>
      <c r="AP52">
        <f t="shared" si="11"/>
        <v>1.1779134005341584E-4</v>
      </c>
      <c r="AT52">
        <f t="shared" si="11"/>
        <v>0</v>
      </c>
      <c r="AV52">
        <f t="shared" si="11"/>
        <v>2.5190746287174638E-2</v>
      </c>
      <c r="AW52">
        <f t="shared" si="11"/>
        <v>0</v>
      </c>
      <c r="AZ52">
        <f t="shared" si="11"/>
        <v>9.2461017290334808E-4</v>
      </c>
      <c r="BA52">
        <f t="shared" si="11"/>
        <v>1.2411351351074586E-3</v>
      </c>
      <c r="BB52">
        <f t="shared" si="11"/>
        <v>7.04608601309291E-4</v>
      </c>
      <c r="BC52">
        <f t="shared" si="11"/>
        <v>4.8346848777884185E-2</v>
      </c>
      <c r="BD52">
        <f t="shared" si="11"/>
        <v>2.3583981560445423E-4</v>
      </c>
    </row>
    <row r="53" spans="1:56" x14ac:dyDescent="0.3">
      <c r="A53" s="15" t="s">
        <v>103</v>
      </c>
      <c r="B53" t="s">
        <v>68</v>
      </c>
      <c r="C53" s="18">
        <f>C52/C51</f>
        <v>9.0600921819400833E-3</v>
      </c>
      <c r="D53" s="18">
        <f t="shared" ref="D53:BD53" si="12">D52/D51</f>
        <v>4.9222418729034855E-3</v>
      </c>
      <c r="E53" s="18">
        <f t="shared" si="12"/>
        <v>2.4932519556078826E-2</v>
      </c>
      <c r="F53" s="18">
        <f t="shared" si="12"/>
        <v>7.3858350037271387E-3</v>
      </c>
      <c r="G53" s="18"/>
      <c r="H53" s="18">
        <f t="shared" si="12"/>
        <v>6.9940742520144279E-3</v>
      </c>
      <c r="I53" s="18">
        <f t="shared" si="12"/>
        <v>6.4962231461108645E-3</v>
      </c>
      <c r="J53" s="18">
        <f t="shared" si="12"/>
        <v>0.16578931072872122</v>
      </c>
      <c r="K53" s="18">
        <f t="shared" si="12"/>
        <v>4.0374003625286058E-2</v>
      </c>
      <c r="L53" s="18">
        <f t="shared" si="12"/>
        <v>7.722737280091288E-2</v>
      </c>
      <c r="M53" s="18">
        <f t="shared" si="12"/>
        <v>1.1648911400432315E-2</v>
      </c>
      <c r="N53" s="18">
        <f t="shared" si="12"/>
        <v>1.8095576829805334E-2</v>
      </c>
      <c r="O53" s="18">
        <f t="shared" si="12"/>
        <v>1.2056909127479089E-2</v>
      </c>
      <c r="P53" s="18">
        <f t="shared" si="12"/>
        <v>7.3912917258843025E-2</v>
      </c>
      <c r="Q53" s="18">
        <f t="shared" si="12"/>
        <v>2.2399651268809734E-2</v>
      </c>
      <c r="R53" s="18">
        <f t="shared" si="12"/>
        <v>2.3628963000245851E-2</v>
      </c>
      <c r="S53" s="18">
        <f t="shared" si="12"/>
        <v>4.9183143412442454E-2</v>
      </c>
      <c r="T53" s="18">
        <f t="shared" si="12"/>
        <v>1.1346485909192813E-2</v>
      </c>
      <c r="U53" s="18">
        <f t="shared" si="12"/>
        <v>1.1178499215879802E-2</v>
      </c>
      <c r="V53" s="18"/>
      <c r="W53" s="18"/>
      <c r="X53" s="18">
        <f t="shared" si="12"/>
        <v>8.3614209019963429E-2</v>
      </c>
      <c r="Y53" s="18">
        <f t="shared" si="12"/>
        <v>5.1793755791362441E-3</v>
      </c>
      <c r="Z53" s="18">
        <f t="shared" si="12"/>
        <v>0.20592253033363714</v>
      </c>
      <c r="AA53" s="18">
        <f t="shared" si="12"/>
        <v>0</v>
      </c>
      <c r="AB53" s="18">
        <f t="shared" si="12"/>
        <v>0</v>
      </c>
      <c r="AC53" s="18"/>
      <c r="AD53" s="18"/>
      <c r="AE53" s="18">
        <f t="shared" si="12"/>
        <v>3.9958742563299628E-2</v>
      </c>
      <c r="AF53" s="18">
        <f t="shared" si="12"/>
        <v>8.4788640816495606E-2</v>
      </c>
      <c r="AG53" s="18">
        <f t="shared" si="12"/>
        <v>5.5403631968559859E-3</v>
      </c>
      <c r="AH53" s="18">
        <f t="shared" si="12"/>
        <v>1.0462093912035139E-2</v>
      </c>
      <c r="AI53" s="18">
        <f t="shared" si="12"/>
        <v>1.8108684647104946E-2</v>
      </c>
      <c r="AJ53" s="18">
        <f t="shared" si="12"/>
        <v>3.9013240157325858E-2</v>
      </c>
      <c r="AK53" s="18">
        <f t="shared" si="12"/>
        <v>2.723071895215267E-2</v>
      </c>
      <c r="AL53" s="18">
        <f t="shared" si="12"/>
        <v>7.9539735860642322E-2</v>
      </c>
      <c r="AM53" s="18">
        <f t="shared" si="12"/>
        <v>9.0337462588690423E-2</v>
      </c>
      <c r="AN53" s="18">
        <f t="shared" si="12"/>
        <v>6.6273041378977368E-2</v>
      </c>
      <c r="AO53" s="18">
        <f t="shared" si="12"/>
        <v>2.5642687937328171E-2</v>
      </c>
      <c r="AP53" s="18">
        <f t="shared" si="12"/>
        <v>8.7136804161567119E-2</v>
      </c>
      <c r="AQ53" s="18"/>
      <c r="AR53" s="18"/>
      <c r="AS53" s="18"/>
      <c r="AT53" s="18"/>
      <c r="AU53" s="18"/>
      <c r="AV53" s="18">
        <f t="shared" si="12"/>
        <v>0.93285421028257975</v>
      </c>
      <c r="AW53" s="18"/>
      <c r="AX53" s="18"/>
      <c r="AY53" s="18"/>
      <c r="AZ53" s="18">
        <f t="shared" si="12"/>
        <v>2.8583572768679207E-3</v>
      </c>
      <c r="BA53" s="18">
        <f t="shared" si="12"/>
        <v>4.1433034475055405E-3</v>
      </c>
      <c r="BB53" s="18">
        <f t="shared" si="12"/>
        <v>2.2715680063992664E-3</v>
      </c>
      <c r="BC53" s="18">
        <f t="shared" si="12"/>
        <v>1.3096479715296889</v>
      </c>
      <c r="BD53" s="18">
        <f t="shared" si="12"/>
        <v>0.11910137538235252</v>
      </c>
    </row>
    <row r="54" spans="1:56" x14ac:dyDescent="0.3">
      <c r="A54" s="15" t="s">
        <v>103</v>
      </c>
      <c r="B54" t="s">
        <v>102</v>
      </c>
      <c r="C54">
        <f>COUNT(C8:C12)</f>
        <v>5</v>
      </c>
      <c r="D54">
        <f t="shared" ref="D54:BD54" si="13">COUNT(D8:D12)</f>
        <v>5</v>
      </c>
      <c r="E54">
        <f t="shared" si="13"/>
        <v>5</v>
      </c>
      <c r="F54">
        <f t="shared" si="13"/>
        <v>5</v>
      </c>
      <c r="G54">
        <f t="shared" si="13"/>
        <v>0</v>
      </c>
      <c r="H54">
        <f t="shared" si="13"/>
        <v>5</v>
      </c>
      <c r="I54">
        <f t="shared" si="13"/>
        <v>5</v>
      </c>
      <c r="J54">
        <f t="shared" si="13"/>
        <v>5</v>
      </c>
      <c r="K54">
        <f t="shared" si="13"/>
        <v>5</v>
      </c>
      <c r="L54">
        <f t="shared" si="13"/>
        <v>5</v>
      </c>
      <c r="M54">
        <f t="shared" si="13"/>
        <v>5</v>
      </c>
      <c r="N54">
        <f t="shared" si="13"/>
        <v>5</v>
      </c>
      <c r="O54">
        <f t="shared" si="13"/>
        <v>5</v>
      </c>
      <c r="P54">
        <f t="shared" si="13"/>
        <v>5</v>
      </c>
      <c r="Q54">
        <f t="shared" si="13"/>
        <v>5</v>
      </c>
      <c r="R54">
        <f t="shared" si="13"/>
        <v>5</v>
      </c>
      <c r="S54">
        <f t="shared" si="13"/>
        <v>5</v>
      </c>
      <c r="T54">
        <f t="shared" si="13"/>
        <v>5</v>
      </c>
      <c r="U54">
        <f t="shared" si="13"/>
        <v>5</v>
      </c>
      <c r="V54">
        <f t="shared" si="13"/>
        <v>0</v>
      </c>
      <c r="W54">
        <f t="shared" si="13"/>
        <v>0</v>
      </c>
      <c r="X54">
        <f t="shared" si="13"/>
        <v>5</v>
      </c>
      <c r="Y54">
        <f t="shared" si="13"/>
        <v>5</v>
      </c>
      <c r="Z54">
        <f t="shared" si="13"/>
        <v>5</v>
      </c>
      <c r="AA54">
        <f t="shared" si="13"/>
        <v>1</v>
      </c>
      <c r="AB54">
        <f t="shared" si="13"/>
        <v>1</v>
      </c>
      <c r="AC54">
        <f t="shared" si="13"/>
        <v>0</v>
      </c>
      <c r="AD54">
        <f t="shared" si="13"/>
        <v>0</v>
      </c>
      <c r="AE54">
        <f t="shared" si="13"/>
        <v>5</v>
      </c>
      <c r="AF54">
        <f t="shared" si="13"/>
        <v>5</v>
      </c>
      <c r="AG54">
        <f t="shared" si="13"/>
        <v>5</v>
      </c>
      <c r="AH54">
        <f t="shared" si="13"/>
        <v>5</v>
      </c>
      <c r="AI54">
        <f t="shared" si="13"/>
        <v>5</v>
      </c>
      <c r="AJ54">
        <f t="shared" si="13"/>
        <v>5</v>
      </c>
      <c r="AK54">
        <f t="shared" si="13"/>
        <v>5</v>
      </c>
      <c r="AL54">
        <f t="shared" si="13"/>
        <v>5</v>
      </c>
      <c r="AM54">
        <f t="shared" si="13"/>
        <v>5</v>
      </c>
      <c r="AN54">
        <f t="shared" si="13"/>
        <v>5</v>
      </c>
      <c r="AO54">
        <f t="shared" si="13"/>
        <v>3</v>
      </c>
      <c r="AP54">
        <f t="shared" si="13"/>
        <v>5</v>
      </c>
      <c r="AQ54">
        <f t="shared" si="13"/>
        <v>0</v>
      </c>
      <c r="AR54">
        <f t="shared" si="13"/>
        <v>0</v>
      </c>
      <c r="AS54">
        <f t="shared" si="13"/>
        <v>0</v>
      </c>
      <c r="AT54">
        <f t="shared" si="13"/>
        <v>1</v>
      </c>
      <c r="AU54">
        <f t="shared" si="13"/>
        <v>0</v>
      </c>
      <c r="AV54">
        <f t="shared" si="13"/>
        <v>5</v>
      </c>
      <c r="AW54">
        <f t="shared" si="13"/>
        <v>1</v>
      </c>
      <c r="AX54">
        <f t="shared" si="13"/>
        <v>0</v>
      </c>
      <c r="AY54">
        <f t="shared" si="13"/>
        <v>0</v>
      </c>
      <c r="AZ54">
        <f t="shared" si="13"/>
        <v>5</v>
      </c>
      <c r="BA54">
        <f t="shared" si="13"/>
        <v>5</v>
      </c>
      <c r="BB54">
        <f t="shared" si="13"/>
        <v>5</v>
      </c>
      <c r="BC54">
        <f t="shared" si="13"/>
        <v>5</v>
      </c>
      <c r="BD54">
        <f t="shared" si="13"/>
        <v>5</v>
      </c>
    </row>
    <row r="56" spans="1:56" x14ac:dyDescent="0.3">
      <c r="A56" s="15" t="s">
        <v>104</v>
      </c>
      <c r="B56" t="s">
        <v>66</v>
      </c>
      <c r="C56">
        <f>AVERAGE(C13:C16)</f>
        <v>189.41778524644252</v>
      </c>
      <c r="D56">
        <f t="shared" ref="D56:BD56" si="14">AVERAGE(D13:D16)</f>
        <v>197.54145029454202</v>
      </c>
      <c r="E56">
        <f t="shared" si="14"/>
        <v>11.88443444469292</v>
      </c>
      <c r="F56">
        <f t="shared" si="14"/>
        <v>5400.0729891712663</v>
      </c>
      <c r="G56">
        <f t="shared" si="14"/>
        <v>4.6056512285178002</v>
      </c>
      <c r="H56">
        <f t="shared" si="14"/>
        <v>12119.817710038033</v>
      </c>
      <c r="I56">
        <f t="shared" si="14"/>
        <v>11712.250049192284</v>
      </c>
      <c r="J56">
        <f t="shared" si="14"/>
        <v>0.56674171671497009</v>
      </c>
      <c r="K56">
        <f t="shared" si="14"/>
        <v>1.7853999895438552E-2</v>
      </c>
      <c r="L56">
        <f t="shared" si="14"/>
        <v>0.11073918143890014</v>
      </c>
      <c r="M56">
        <f t="shared" si="14"/>
        <v>0.80744025498876248</v>
      </c>
      <c r="N56">
        <f t="shared" si="14"/>
        <v>18.410768798985298</v>
      </c>
      <c r="O56">
        <f t="shared" si="14"/>
        <v>18.803835736167244</v>
      </c>
      <c r="P56">
        <f t="shared" si="14"/>
        <v>3.6194489346882417E-3</v>
      </c>
      <c r="Q56">
        <f t="shared" si="14"/>
        <v>0.15714060622661644</v>
      </c>
      <c r="R56">
        <f t="shared" si="14"/>
        <v>5.4892626298924482E-2</v>
      </c>
      <c r="S56">
        <f t="shared" si="14"/>
        <v>5.5583289752543334E-2</v>
      </c>
      <c r="T56">
        <f t="shared" si="14"/>
        <v>5.010525198874074</v>
      </c>
      <c r="U56">
        <f t="shared" si="14"/>
        <v>5.2121662609768951</v>
      </c>
      <c r="V56">
        <f t="shared" si="14"/>
        <v>2.6890103817522607E-2</v>
      </c>
      <c r="X56">
        <f t="shared" si="14"/>
        <v>1.7653493357233995E-2</v>
      </c>
      <c r="Y56">
        <f t="shared" si="14"/>
        <v>7.1209522950419348</v>
      </c>
      <c r="AD56">
        <f t="shared" si="14"/>
        <v>2.6301128464000692E-2</v>
      </c>
      <c r="AE56">
        <f t="shared" si="14"/>
        <v>1.8800162038076551E-2</v>
      </c>
      <c r="AF56">
        <f t="shared" si="14"/>
        <v>3.3723612342913153E-4</v>
      </c>
      <c r="AG56">
        <f t="shared" si="14"/>
        <v>7.1896808590710375</v>
      </c>
      <c r="AH56">
        <f t="shared" si="14"/>
        <v>1.0889096534795237E-2</v>
      </c>
      <c r="AI56">
        <f t="shared" si="14"/>
        <v>2.31418300168699E-2</v>
      </c>
      <c r="AJ56">
        <f t="shared" si="14"/>
        <v>2.1618204550824796E-3</v>
      </c>
      <c r="AK56">
        <f t="shared" si="14"/>
        <v>8.4773350678591965E-3</v>
      </c>
      <c r="AL56">
        <f t="shared" si="14"/>
        <v>1.7036177425527456E-3</v>
      </c>
      <c r="AM56">
        <f t="shared" si="14"/>
        <v>4.6115317633031917E-4</v>
      </c>
      <c r="AN56">
        <f t="shared" si="14"/>
        <v>1.5179659963879472E-3</v>
      </c>
      <c r="AO56">
        <f t="shared" si="14"/>
        <v>2.3700697246668853E-4</v>
      </c>
      <c r="AP56">
        <f t="shared" si="14"/>
        <v>1.1569913924632468E-3</v>
      </c>
      <c r="AQ56">
        <f t="shared" si="14"/>
        <v>2.1650392716015418E-4</v>
      </c>
      <c r="AR56">
        <f t="shared" si="14"/>
        <v>6.1275197944105628E-4</v>
      </c>
      <c r="AS56">
        <f t="shared" si="14"/>
        <v>9.3089823757697704E-5</v>
      </c>
      <c r="AT56">
        <f t="shared" si="14"/>
        <v>4.7858390589014023E-4</v>
      </c>
      <c r="AU56">
        <f t="shared" si="14"/>
        <v>8.0547520983180939E-5</v>
      </c>
      <c r="AV56">
        <f t="shared" si="14"/>
        <v>2.1901424036776654E-2</v>
      </c>
      <c r="AW56">
        <f t="shared" si="14"/>
        <v>0.16453663067617785</v>
      </c>
      <c r="AX56">
        <f t="shared" si="14"/>
        <v>6.2313408053891862E-5</v>
      </c>
      <c r="AY56">
        <f t="shared" si="14"/>
        <v>2.2517460732331292E-4</v>
      </c>
      <c r="AZ56">
        <f t="shared" si="14"/>
        <v>0.2854509419587426</v>
      </c>
      <c r="BA56">
        <f t="shared" si="14"/>
        <v>0.26411638777793356</v>
      </c>
      <c r="BB56">
        <f t="shared" si="14"/>
        <v>0.2713412592237216</v>
      </c>
      <c r="BC56">
        <f t="shared" si="14"/>
        <v>2.0105422446215548E-2</v>
      </c>
      <c r="BD56">
        <f t="shared" si="14"/>
        <v>2.4394186519806505E-3</v>
      </c>
    </row>
    <row r="57" spans="1:56" x14ac:dyDescent="0.3">
      <c r="A57" s="15" t="s">
        <v>104</v>
      </c>
      <c r="B57" t="s">
        <v>67</v>
      </c>
      <c r="C57">
        <f>_xlfn.STDEV.P(C13:C16)</f>
        <v>0.39995058766469344</v>
      </c>
      <c r="D57">
        <f t="shared" ref="D57:BD57" si="15">_xlfn.STDEV.P(D13:D16)</f>
        <v>0.65142809515472433</v>
      </c>
      <c r="E57">
        <f t="shared" si="15"/>
        <v>0.21379359333637157</v>
      </c>
      <c r="F57">
        <f t="shared" si="15"/>
        <v>26.4647333721683</v>
      </c>
      <c r="G57">
        <f t="shared" si="15"/>
        <v>0.39212449734154875</v>
      </c>
      <c r="H57">
        <f t="shared" si="15"/>
        <v>49.919140655874891</v>
      </c>
      <c r="I57">
        <f t="shared" si="15"/>
        <v>40.285746318694692</v>
      </c>
      <c r="J57">
        <f t="shared" si="15"/>
        <v>4.5450146115987557E-2</v>
      </c>
      <c r="K57">
        <f t="shared" si="15"/>
        <v>2.9563172546167275E-4</v>
      </c>
      <c r="L57">
        <f t="shared" si="15"/>
        <v>3.3658810315553849E-3</v>
      </c>
      <c r="M57">
        <f t="shared" si="15"/>
        <v>4.612005752969351E-2</v>
      </c>
      <c r="N57">
        <f t="shared" si="15"/>
        <v>0.13667416181026365</v>
      </c>
      <c r="O57">
        <f t="shared" si="15"/>
        <v>0.19286577051208417</v>
      </c>
      <c r="P57">
        <f t="shared" si="15"/>
        <v>1.5696292936770255E-4</v>
      </c>
      <c r="Q57">
        <f t="shared" si="15"/>
        <v>5.65884134276447E-3</v>
      </c>
      <c r="R57">
        <f t="shared" si="15"/>
        <v>1.9655475770761089E-3</v>
      </c>
      <c r="S57">
        <f t="shared" si="15"/>
        <v>1.2648637092238253E-3</v>
      </c>
      <c r="T57">
        <f t="shared" si="15"/>
        <v>3.2534718220411603E-2</v>
      </c>
      <c r="U57">
        <f t="shared" si="15"/>
        <v>3.9756898331372637E-2</v>
      </c>
      <c r="V57">
        <f t="shared" si="15"/>
        <v>1.7261398520268811E-3</v>
      </c>
      <c r="X57">
        <f t="shared" si="15"/>
        <v>4.737733868634886E-4</v>
      </c>
      <c r="Y57">
        <f t="shared" si="15"/>
        <v>5.8497602887052177E-2</v>
      </c>
      <c r="AD57">
        <f t="shared" si="15"/>
        <v>1.0855353148256953E-2</v>
      </c>
      <c r="AE57">
        <f t="shared" si="15"/>
        <v>6.2292900367887018E-4</v>
      </c>
      <c r="AF57">
        <f t="shared" si="15"/>
        <v>4.0735944964125018E-5</v>
      </c>
      <c r="AG57">
        <f t="shared" si="15"/>
        <v>2.1996585539824854E-2</v>
      </c>
      <c r="AH57">
        <f t="shared" si="15"/>
        <v>7.8925251698582597E-5</v>
      </c>
      <c r="AI57">
        <f t="shared" si="15"/>
        <v>1.8992434587339338E-4</v>
      </c>
      <c r="AJ57">
        <f t="shared" si="15"/>
        <v>8.1712033413565595E-5</v>
      </c>
      <c r="AK57">
        <f t="shared" si="15"/>
        <v>2.6226427943438493E-4</v>
      </c>
      <c r="AL57">
        <f t="shared" si="15"/>
        <v>2.6845182612997732E-4</v>
      </c>
      <c r="AM57">
        <f t="shared" si="15"/>
        <v>7.7125279447839236E-5</v>
      </c>
      <c r="AN57">
        <f t="shared" si="15"/>
        <v>8.5610660281433819E-5</v>
      </c>
      <c r="AO57">
        <f t="shared" si="15"/>
        <v>3.7154420737318727E-5</v>
      </c>
      <c r="AP57">
        <f t="shared" si="15"/>
        <v>8.3624291032402588E-5</v>
      </c>
      <c r="AQ57">
        <f t="shared" si="15"/>
        <v>2.1103254009839666E-5</v>
      </c>
      <c r="AR57">
        <f t="shared" si="15"/>
        <v>9.1170263845654902E-5</v>
      </c>
      <c r="AS57">
        <f t="shared" si="15"/>
        <v>1.5382799513445337E-5</v>
      </c>
      <c r="AT57">
        <f t="shared" si="15"/>
        <v>1.388361873140468E-4</v>
      </c>
      <c r="AU57">
        <f t="shared" si="15"/>
        <v>3.7705491428410481E-6</v>
      </c>
      <c r="AV57">
        <f t="shared" si="15"/>
        <v>2.4622715157972711E-2</v>
      </c>
      <c r="AW57">
        <f t="shared" si="15"/>
        <v>0.12444930997198772</v>
      </c>
      <c r="AX57">
        <f t="shared" si="15"/>
        <v>0</v>
      </c>
      <c r="AY57">
        <f t="shared" si="15"/>
        <v>7.4714533595144662E-5</v>
      </c>
      <c r="AZ57">
        <f t="shared" si="15"/>
        <v>7.3394046951560747E-4</v>
      </c>
      <c r="BA57">
        <f t="shared" si="15"/>
        <v>1.7264978424010433E-3</v>
      </c>
      <c r="BB57">
        <f t="shared" si="15"/>
        <v>9.4217932581678254E-4</v>
      </c>
      <c r="BC57">
        <f t="shared" si="15"/>
        <v>2.5561529616279936E-2</v>
      </c>
      <c r="BD57">
        <f t="shared" si="15"/>
        <v>1.8657547357926057E-4</v>
      </c>
    </row>
    <row r="58" spans="1:56" x14ac:dyDescent="0.3">
      <c r="A58" s="15" t="s">
        <v>104</v>
      </c>
      <c r="B58" t="s">
        <v>68</v>
      </c>
      <c r="C58" s="18">
        <f>C57/C56</f>
        <v>2.1114732555041578E-3</v>
      </c>
      <c r="D58" s="18">
        <f t="shared" ref="D58:BD58" si="16">D57/D56</f>
        <v>3.297678002178376E-3</v>
      </c>
      <c r="E58" s="18">
        <f t="shared" si="16"/>
        <v>1.7989378824151171E-2</v>
      </c>
      <c r="F58" s="18">
        <f t="shared" si="16"/>
        <v>4.9008103085343233E-3</v>
      </c>
      <c r="G58" s="18">
        <f t="shared" si="16"/>
        <v>8.5139859248035812E-2</v>
      </c>
      <c r="H58" s="18">
        <f t="shared" si="16"/>
        <v>4.1188029267577361E-3</v>
      </c>
      <c r="I58" s="18">
        <f t="shared" si="16"/>
        <v>3.4396248500067612E-3</v>
      </c>
      <c r="J58" s="18">
        <f t="shared" si="16"/>
        <v>8.019551900896274E-2</v>
      </c>
      <c r="K58" s="18">
        <f t="shared" si="16"/>
        <v>1.6558290982022609E-2</v>
      </c>
      <c r="L58" s="18">
        <f t="shared" si="16"/>
        <v>3.0394671405553911E-2</v>
      </c>
      <c r="M58" s="18">
        <f t="shared" si="16"/>
        <v>5.7118848416017338E-2</v>
      </c>
      <c r="N58" s="18">
        <f t="shared" si="16"/>
        <v>7.4235988351445915E-3</v>
      </c>
      <c r="O58" s="18">
        <f t="shared" si="16"/>
        <v>1.0256724916030122E-2</v>
      </c>
      <c r="P58" s="18">
        <f t="shared" si="16"/>
        <v>4.3366526838766531E-2</v>
      </c>
      <c r="Q58" s="18">
        <f t="shared" si="16"/>
        <v>3.6011324371523115E-2</v>
      </c>
      <c r="R58" s="18">
        <f t="shared" si="16"/>
        <v>3.5807133117888731E-2</v>
      </c>
      <c r="S58" s="18">
        <f t="shared" si="16"/>
        <v>2.2756186523953427E-2</v>
      </c>
      <c r="T58" s="18">
        <f t="shared" si="16"/>
        <v>6.4932750418504135E-3</v>
      </c>
      <c r="U58" s="18">
        <f t="shared" si="16"/>
        <v>7.6277110784108339E-3</v>
      </c>
      <c r="V58" s="18">
        <f t="shared" si="16"/>
        <v>6.4192383329589944E-2</v>
      </c>
      <c r="W58" s="18"/>
      <c r="X58" s="18">
        <f t="shared" si="16"/>
        <v>2.6837373049983175E-2</v>
      </c>
      <c r="Y58" s="18">
        <f t="shared" si="16"/>
        <v>8.2148567302974315E-3</v>
      </c>
      <c r="Z58" s="18"/>
      <c r="AA58" s="18"/>
      <c r="AB58" s="18"/>
      <c r="AC58" s="18"/>
      <c r="AD58" s="18">
        <f t="shared" si="16"/>
        <v>0.41273336097023627</v>
      </c>
      <c r="AE58" s="18">
        <f t="shared" si="16"/>
        <v>3.3134235886756333E-2</v>
      </c>
      <c r="AF58" s="18">
        <f t="shared" si="16"/>
        <v>0.12079353940469983</v>
      </c>
      <c r="AG58" s="18">
        <f t="shared" si="16"/>
        <v>3.059466194813407E-3</v>
      </c>
      <c r="AH58" s="18">
        <f t="shared" si="16"/>
        <v>7.2480991831033242E-3</v>
      </c>
      <c r="AI58" s="18">
        <f t="shared" si="16"/>
        <v>8.2069717794548917E-3</v>
      </c>
      <c r="AJ58" s="18">
        <f t="shared" si="16"/>
        <v>3.779778899836899E-2</v>
      </c>
      <c r="AK58" s="18">
        <f t="shared" si="16"/>
        <v>3.09371137668875E-2</v>
      </c>
      <c r="AL58" s="18">
        <f t="shared" si="16"/>
        <v>0.15757750076476784</v>
      </c>
      <c r="AM58" s="18">
        <f t="shared" si="16"/>
        <v>0.16724438517711782</v>
      </c>
      <c r="AN58" s="18">
        <f t="shared" si="16"/>
        <v>5.6398272744677652E-2</v>
      </c>
      <c r="AO58" s="18">
        <f t="shared" si="16"/>
        <v>0.15676509577177442</v>
      </c>
      <c r="AP58" s="18">
        <f t="shared" si="16"/>
        <v>7.2277366605438265E-2</v>
      </c>
      <c r="AQ58" s="18">
        <f t="shared" si="16"/>
        <v>9.7472846274187827E-2</v>
      </c>
      <c r="AR58" s="18">
        <f t="shared" si="16"/>
        <v>0.14878819963799894</v>
      </c>
      <c r="AS58" s="18">
        <f t="shared" si="16"/>
        <v>0.16524684323696892</v>
      </c>
      <c r="AT58" s="18">
        <f t="shared" si="16"/>
        <v>0.29009790259415219</v>
      </c>
      <c r="AU58" s="18">
        <f t="shared" si="16"/>
        <v>4.6811485900706655E-2</v>
      </c>
      <c r="AV58" s="18">
        <f t="shared" si="16"/>
        <v>1.1242517891360166</v>
      </c>
      <c r="AW58" s="18">
        <f t="shared" si="16"/>
        <v>0.75636233378884854</v>
      </c>
      <c r="AX58" s="18">
        <f t="shared" si="16"/>
        <v>0</v>
      </c>
      <c r="AY58" s="18">
        <f t="shared" si="16"/>
        <v>0.33180710064642033</v>
      </c>
      <c r="AZ58" s="18">
        <f t="shared" si="16"/>
        <v>2.571161490935584E-3</v>
      </c>
      <c r="BA58" s="18">
        <f t="shared" si="16"/>
        <v>6.5368826861764654E-3</v>
      </c>
      <c r="BB58" s="18">
        <f t="shared" si="16"/>
        <v>3.47230394858584E-3</v>
      </c>
      <c r="BC58" s="18">
        <f t="shared" si="16"/>
        <v>1.2713749081701784</v>
      </c>
      <c r="BD58" s="18">
        <f t="shared" si="16"/>
        <v>7.648358080224292E-2</v>
      </c>
    </row>
    <row r="59" spans="1:56" x14ac:dyDescent="0.3">
      <c r="A59" s="15" t="s">
        <v>104</v>
      </c>
      <c r="B59" t="s">
        <v>102</v>
      </c>
      <c r="C59">
        <f>COUNT(C13:C16)</f>
        <v>4</v>
      </c>
      <c r="D59">
        <f t="shared" ref="D59:BD59" si="17">COUNT(D13:D16)</f>
        <v>4</v>
      </c>
      <c r="E59">
        <f t="shared" si="17"/>
        <v>4</v>
      </c>
      <c r="F59">
        <f t="shared" si="17"/>
        <v>4</v>
      </c>
      <c r="G59">
        <f t="shared" si="17"/>
        <v>4</v>
      </c>
      <c r="H59">
        <f t="shared" si="17"/>
        <v>4</v>
      </c>
      <c r="I59">
        <f t="shared" si="17"/>
        <v>4</v>
      </c>
      <c r="J59">
        <f t="shared" si="17"/>
        <v>4</v>
      </c>
      <c r="K59">
        <f t="shared" si="17"/>
        <v>4</v>
      </c>
      <c r="L59">
        <f t="shared" si="17"/>
        <v>4</v>
      </c>
      <c r="M59">
        <f t="shared" si="17"/>
        <v>4</v>
      </c>
      <c r="N59">
        <f t="shared" si="17"/>
        <v>4</v>
      </c>
      <c r="O59">
        <f t="shared" si="17"/>
        <v>4</v>
      </c>
      <c r="P59">
        <f t="shared" si="17"/>
        <v>4</v>
      </c>
      <c r="Q59">
        <f t="shared" si="17"/>
        <v>4</v>
      </c>
      <c r="R59">
        <f t="shared" si="17"/>
        <v>4</v>
      </c>
      <c r="S59">
        <f t="shared" si="17"/>
        <v>4</v>
      </c>
      <c r="T59">
        <f t="shared" si="17"/>
        <v>4</v>
      </c>
      <c r="U59">
        <f t="shared" si="17"/>
        <v>4</v>
      </c>
      <c r="V59">
        <f t="shared" si="17"/>
        <v>2</v>
      </c>
      <c r="W59">
        <f t="shared" si="17"/>
        <v>0</v>
      </c>
      <c r="X59">
        <f t="shared" si="17"/>
        <v>4</v>
      </c>
      <c r="Y59">
        <f t="shared" si="17"/>
        <v>4</v>
      </c>
      <c r="Z59">
        <f t="shared" si="17"/>
        <v>4</v>
      </c>
      <c r="AA59">
        <f t="shared" si="17"/>
        <v>1</v>
      </c>
      <c r="AB59">
        <f t="shared" si="17"/>
        <v>1</v>
      </c>
      <c r="AC59">
        <f t="shared" si="17"/>
        <v>4</v>
      </c>
      <c r="AD59">
        <f t="shared" si="17"/>
        <v>4</v>
      </c>
      <c r="AE59">
        <f t="shared" si="17"/>
        <v>4</v>
      </c>
      <c r="AF59">
        <f t="shared" si="17"/>
        <v>4</v>
      </c>
      <c r="AG59">
        <f t="shared" si="17"/>
        <v>4</v>
      </c>
      <c r="AH59">
        <f t="shared" si="17"/>
        <v>4</v>
      </c>
      <c r="AI59">
        <f t="shared" si="17"/>
        <v>4</v>
      </c>
      <c r="AJ59">
        <f t="shared" si="17"/>
        <v>4</v>
      </c>
      <c r="AK59">
        <f t="shared" si="17"/>
        <v>4</v>
      </c>
      <c r="AL59">
        <f t="shared" si="17"/>
        <v>4</v>
      </c>
      <c r="AM59">
        <f t="shared" si="17"/>
        <v>4</v>
      </c>
      <c r="AN59">
        <f t="shared" si="17"/>
        <v>4</v>
      </c>
      <c r="AO59">
        <f t="shared" si="17"/>
        <v>4</v>
      </c>
      <c r="AP59">
        <f t="shared" si="17"/>
        <v>4</v>
      </c>
      <c r="AQ59">
        <f t="shared" si="17"/>
        <v>4</v>
      </c>
      <c r="AR59">
        <f t="shared" si="17"/>
        <v>4</v>
      </c>
      <c r="AS59">
        <f t="shared" si="17"/>
        <v>3</v>
      </c>
      <c r="AT59">
        <f t="shared" si="17"/>
        <v>4</v>
      </c>
      <c r="AU59">
        <f t="shared" si="17"/>
        <v>3</v>
      </c>
      <c r="AV59">
        <f t="shared" si="17"/>
        <v>4</v>
      </c>
      <c r="AW59">
        <f t="shared" si="17"/>
        <v>2</v>
      </c>
      <c r="AX59">
        <f t="shared" si="17"/>
        <v>1</v>
      </c>
      <c r="AY59">
        <f t="shared" si="17"/>
        <v>4</v>
      </c>
      <c r="AZ59">
        <f t="shared" si="17"/>
        <v>4</v>
      </c>
      <c r="BA59">
        <f t="shared" si="17"/>
        <v>4</v>
      </c>
      <c r="BB59">
        <f t="shared" si="17"/>
        <v>4</v>
      </c>
      <c r="BC59">
        <f t="shared" si="17"/>
        <v>4</v>
      </c>
      <c r="BD59">
        <f t="shared" si="17"/>
        <v>4</v>
      </c>
    </row>
    <row r="62" spans="1:56" x14ac:dyDescent="0.3">
      <c r="A62" s="15" t="s">
        <v>105</v>
      </c>
      <c r="B62" t="s">
        <v>66</v>
      </c>
      <c r="C62">
        <f>AVERAGE(C17:C18)</f>
        <v>209.79609569325766</v>
      </c>
      <c r="D62">
        <f t="shared" ref="D62:BD62" si="18">AVERAGE(D17:D18)</f>
        <v>207.30409645919508</v>
      </c>
      <c r="E62">
        <f t="shared" si="18"/>
        <v>12.540427137853591</v>
      </c>
      <c r="F62">
        <f t="shared" si="18"/>
        <v>5659.7897694586773</v>
      </c>
      <c r="G62">
        <f t="shared" si="18"/>
        <v>6.0445871054820124</v>
      </c>
      <c r="H62">
        <f t="shared" si="18"/>
        <v>12786.612183730402</v>
      </c>
      <c r="I62">
        <f t="shared" si="18"/>
        <v>12245.043312665759</v>
      </c>
      <c r="J62">
        <f t="shared" si="18"/>
        <v>0.60840984271428344</v>
      </c>
      <c r="K62">
        <f t="shared" si="18"/>
        <v>1.9238659639936977E-2</v>
      </c>
      <c r="L62">
        <f t="shared" si="18"/>
        <v>0.11094847851496416</v>
      </c>
      <c r="M62">
        <f t="shared" si="18"/>
        <v>0.77748983981850994</v>
      </c>
      <c r="N62">
        <f t="shared" si="18"/>
        <v>19.328694878279727</v>
      </c>
      <c r="O62">
        <f t="shared" si="18"/>
        <v>19.455215132272066</v>
      </c>
      <c r="P62">
        <f t="shared" si="18"/>
        <v>5.6676182918075054E-3</v>
      </c>
      <c r="R62">
        <f t="shared" si="18"/>
        <v>5.2478873132257284E-2</v>
      </c>
      <c r="S62">
        <f t="shared" si="18"/>
        <v>5.3449947057865092E-2</v>
      </c>
      <c r="T62">
        <f t="shared" si="18"/>
        <v>5.1252495942613203</v>
      </c>
      <c r="U62">
        <f t="shared" si="18"/>
        <v>5.3116417328987557</v>
      </c>
      <c r="X62">
        <f t="shared" si="18"/>
        <v>1.9821449626172639E-2</v>
      </c>
      <c r="Y62">
        <f t="shared" si="18"/>
        <v>7.463444667241709</v>
      </c>
      <c r="Z62">
        <f t="shared" si="18"/>
        <v>0.13878587162543837</v>
      </c>
      <c r="AA62">
        <f t="shared" si="18"/>
        <v>0.11403335386929925</v>
      </c>
      <c r="AB62">
        <f t="shared" si="18"/>
        <v>0.11136785547702702</v>
      </c>
      <c r="AD62">
        <f t="shared" si="18"/>
        <v>4.9974010026982388E-2</v>
      </c>
      <c r="AE62">
        <f t="shared" si="18"/>
        <v>1.9701148012342597E-2</v>
      </c>
      <c r="AF62">
        <f t="shared" si="18"/>
        <v>3.6640977808480811E-4</v>
      </c>
      <c r="AG62">
        <f t="shared" si="18"/>
        <v>7.5628587777163254</v>
      </c>
      <c r="AH62">
        <f t="shared" si="18"/>
        <v>1.1721583678407518E-2</v>
      </c>
      <c r="AI62">
        <f t="shared" si="18"/>
        <v>2.437636821121765E-2</v>
      </c>
      <c r="AJ62">
        <f t="shared" si="18"/>
        <v>2.2674371930563484E-3</v>
      </c>
      <c r="AK62">
        <f t="shared" si="18"/>
        <v>9.0394701758714103E-3</v>
      </c>
      <c r="AL62">
        <f t="shared" si="18"/>
        <v>1.5001434168745546E-3</v>
      </c>
      <c r="AM62">
        <f t="shared" si="18"/>
        <v>5.2321733643717746E-4</v>
      </c>
      <c r="AN62">
        <f t="shared" si="18"/>
        <v>1.6642213617181884E-3</v>
      </c>
      <c r="AO62">
        <f t="shared" si="18"/>
        <v>2.7992283829468361E-4</v>
      </c>
      <c r="AP62">
        <f t="shared" si="18"/>
        <v>1.3420028659536804E-3</v>
      </c>
      <c r="AV62">
        <f t="shared" si="18"/>
        <v>8.0405714422679991E-2</v>
      </c>
      <c r="AW62">
        <f t="shared" si="18"/>
        <v>0.28800013935472846</v>
      </c>
      <c r="AZ62">
        <f t="shared" si="18"/>
        <v>0.33489736036834505</v>
      </c>
      <c r="BA62">
        <f t="shared" si="18"/>
        <v>0.30860747782311237</v>
      </c>
      <c r="BB62">
        <f t="shared" si="18"/>
        <v>0.30311851906951937</v>
      </c>
      <c r="BC62">
        <f t="shared" si="18"/>
        <v>6.737924661749993E-2</v>
      </c>
      <c r="BD62">
        <f t="shared" si="18"/>
        <v>2.3561120556587958E-3</v>
      </c>
    </row>
    <row r="63" spans="1:56" x14ac:dyDescent="0.3">
      <c r="A63" s="15" t="s">
        <v>105</v>
      </c>
      <c r="B63" t="s">
        <v>67</v>
      </c>
      <c r="C63">
        <f>_xlfn.STDEV.P(C17:C18)</f>
        <v>5.2438258696819418</v>
      </c>
      <c r="D63">
        <f t="shared" ref="D63:BD63" si="19">_xlfn.STDEV.P(D17:D18)</f>
        <v>0.1159674307100147</v>
      </c>
      <c r="E63">
        <f t="shared" si="19"/>
        <v>0.30292001668261115</v>
      </c>
      <c r="F63">
        <f t="shared" si="19"/>
        <v>48.284509877102664</v>
      </c>
      <c r="G63">
        <f t="shared" si="19"/>
        <v>0.47642287723716903</v>
      </c>
      <c r="H63">
        <f t="shared" si="19"/>
        <v>18.404076661113322</v>
      </c>
      <c r="I63">
        <f t="shared" si="19"/>
        <v>1.762773335156453</v>
      </c>
      <c r="J63">
        <f t="shared" si="19"/>
        <v>1.1026628810044736E-2</v>
      </c>
      <c r="K63">
        <f t="shared" si="19"/>
        <v>2.420173449049658E-3</v>
      </c>
      <c r="L63">
        <f t="shared" si="19"/>
        <v>2.0836874901532659E-3</v>
      </c>
      <c r="M63">
        <f t="shared" si="19"/>
        <v>4.3181193485480995E-2</v>
      </c>
      <c r="N63">
        <f t="shared" si="19"/>
        <v>2.9515130451848393E-2</v>
      </c>
      <c r="O63">
        <f t="shared" si="19"/>
        <v>0.25213507571027982</v>
      </c>
      <c r="P63">
        <f t="shared" si="19"/>
        <v>0</v>
      </c>
      <c r="R63">
        <f t="shared" si="19"/>
        <v>1.0825323332062826E-3</v>
      </c>
      <c r="S63">
        <f t="shared" si="19"/>
        <v>3.474495733041684E-3</v>
      </c>
      <c r="T63">
        <f t="shared" si="19"/>
        <v>5.7286092546534384E-2</v>
      </c>
      <c r="U63">
        <f t="shared" si="19"/>
        <v>2.7512022712381956E-2</v>
      </c>
      <c r="X63">
        <f t="shared" si="19"/>
        <v>2.5659973928444414E-4</v>
      </c>
      <c r="Y63">
        <f t="shared" si="19"/>
        <v>1.4320241972461289E-2</v>
      </c>
      <c r="Z63">
        <f t="shared" si="19"/>
        <v>1.2925069158059688E-2</v>
      </c>
      <c r="AA63">
        <f t="shared" si="19"/>
        <v>0</v>
      </c>
      <c r="AB63">
        <f t="shared" si="19"/>
        <v>0</v>
      </c>
      <c r="AD63">
        <f t="shared" si="19"/>
        <v>0</v>
      </c>
      <c r="AE63">
        <f t="shared" si="19"/>
        <v>8.7090776794363986E-4</v>
      </c>
      <c r="AF63">
        <f t="shared" si="19"/>
        <v>6.582239480968868E-6</v>
      </c>
      <c r="AG63">
        <f t="shared" si="19"/>
        <v>1.614852777852116E-2</v>
      </c>
      <c r="AH63">
        <f t="shared" si="19"/>
        <v>2.0560808063396253E-4</v>
      </c>
      <c r="AI63">
        <f t="shared" si="19"/>
        <v>1.2642485300871746E-4</v>
      </c>
      <c r="AJ63">
        <f t="shared" si="19"/>
        <v>2.3047252590656505E-5</v>
      </c>
      <c r="AK63">
        <f t="shared" si="19"/>
        <v>5.2948378136587031E-4</v>
      </c>
      <c r="AL63">
        <f t="shared" si="19"/>
        <v>2.2055789421206813E-4</v>
      </c>
      <c r="AM63">
        <f t="shared" si="19"/>
        <v>5.199397463150231E-6</v>
      </c>
      <c r="AN63">
        <f t="shared" si="19"/>
        <v>3.9104944096439572E-6</v>
      </c>
      <c r="AO63">
        <f t="shared" si="19"/>
        <v>0</v>
      </c>
      <c r="AP63">
        <f t="shared" si="19"/>
        <v>1.3960149673540893E-4</v>
      </c>
      <c r="AV63">
        <f t="shared" si="19"/>
        <v>0</v>
      </c>
      <c r="AW63">
        <f t="shared" si="19"/>
        <v>0</v>
      </c>
      <c r="AZ63">
        <f t="shared" si="19"/>
        <v>1.1590592182658677E-4</v>
      </c>
      <c r="BA63">
        <f t="shared" si="19"/>
        <v>1.819992029907902E-3</v>
      </c>
      <c r="BB63">
        <f t="shared" si="19"/>
        <v>1.0018370959295475E-3</v>
      </c>
      <c r="BC63">
        <f t="shared" si="19"/>
        <v>0</v>
      </c>
      <c r="BD63">
        <f t="shared" si="19"/>
        <v>1.0275496210413837E-4</v>
      </c>
    </row>
    <row r="64" spans="1:56" x14ac:dyDescent="0.3">
      <c r="A64" s="15" t="s">
        <v>105</v>
      </c>
      <c r="B64" t="s">
        <v>68</v>
      </c>
      <c r="C64" s="19">
        <f>C63/C62</f>
        <v>2.4994868719334637E-2</v>
      </c>
      <c r="D64" s="19">
        <f t="shared" ref="D64:BD64" si="20">D63/D62</f>
        <v>5.5940732812697345E-4</v>
      </c>
      <c r="E64" s="19">
        <f t="shared" si="20"/>
        <v>2.4155478386237703E-2</v>
      </c>
      <c r="F64" s="19">
        <f t="shared" si="20"/>
        <v>8.5311490079817524E-3</v>
      </c>
      <c r="G64" s="19">
        <f t="shared" si="20"/>
        <v>7.8818101042019431E-2</v>
      </c>
      <c r="H64" s="19">
        <f t="shared" si="20"/>
        <v>1.4393239113430329E-3</v>
      </c>
      <c r="I64" s="19">
        <f t="shared" si="20"/>
        <v>1.4395811351137599E-4</v>
      </c>
      <c r="J64" s="19">
        <f t="shared" si="20"/>
        <v>1.8123685772162917E-2</v>
      </c>
      <c r="K64" s="19">
        <f t="shared" si="20"/>
        <v>0.12579740451490135</v>
      </c>
      <c r="L64" s="19">
        <f t="shared" si="20"/>
        <v>1.8780676563061014E-2</v>
      </c>
      <c r="M64" s="19">
        <f t="shared" si="20"/>
        <v>5.5539238294819153E-2</v>
      </c>
      <c r="N64" s="19">
        <f t="shared" si="20"/>
        <v>1.5270110391682726E-3</v>
      </c>
      <c r="O64" s="19">
        <f t="shared" si="20"/>
        <v>1.295976806198567E-2</v>
      </c>
      <c r="P64" s="19"/>
      <c r="Q64" s="19"/>
      <c r="R64" s="19">
        <f t="shared" si="20"/>
        <v>2.0627964523515663E-2</v>
      </c>
      <c r="S64" s="19">
        <f t="shared" si="20"/>
        <v>6.5004661824644719E-2</v>
      </c>
      <c r="T64" s="19">
        <f t="shared" si="20"/>
        <v>1.1177229809583699E-2</v>
      </c>
      <c r="U64" s="19">
        <f t="shared" si="20"/>
        <v>5.1795704785547814E-3</v>
      </c>
      <c r="V64" s="19"/>
      <c r="W64" s="19"/>
      <c r="X64" s="19">
        <f t="shared" si="20"/>
        <v>1.2945558681319892E-2</v>
      </c>
      <c r="Y64" s="19">
        <f t="shared" si="20"/>
        <v>1.9187175106040776E-3</v>
      </c>
      <c r="Z64" s="19">
        <f t="shared" si="20"/>
        <v>9.312957440612149E-2</v>
      </c>
      <c r="AA64" s="19"/>
      <c r="AB64" s="19"/>
      <c r="AC64" s="19"/>
      <c r="AD64" s="19"/>
      <c r="AE64" s="19">
        <f t="shared" si="20"/>
        <v>4.4205940049687649E-2</v>
      </c>
      <c r="AF64" s="19">
        <f t="shared" si="20"/>
        <v>1.7964147996741949E-2</v>
      </c>
      <c r="AG64" s="19">
        <f t="shared" si="20"/>
        <v>2.1352412167343626E-3</v>
      </c>
      <c r="AH64" s="19">
        <f t="shared" si="20"/>
        <v>1.7540981344757692E-2</v>
      </c>
      <c r="AI64" s="19">
        <f t="shared" si="20"/>
        <v>5.1863695162981081E-3</v>
      </c>
      <c r="AJ64" s="19">
        <f t="shared" si="20"/>
        <v>1.0164450270655746E-2</v>
      </c>
      <c r="AK64" s="19">
        <f t="shared" si="20"/>
        <v>5.8574647746412613E-2</v>
      </c>
      <c r="AL64" s="19">
        <f t="shared" si="20"/>
        <v>0.14702453894147355</v>
      </c>
      <c r="AM64" s="19">
        <f t="shared" si="20"/>
        <v>9.9373570045581255E-3</v>
      </c>
      <c r="AN64" s="19">
        <f t="shared" si="20"/>
        <v>2.3497441503855317E-3</v>
      </c>
      <c r="AO64" s="19"/>
      <c r="AP64" s="19">
        <f t="shared" si="20"/>
        <v>0.10402473815598194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>
        <f t="shared" si="20"/>
        <v>3.4609386499524753E-4</v>
      </c>
      <c r="BA64" s="19">
        <f t="shared" si="20"/>
        <v>5.8974333439550837E-3</v>
      </c>
      <c r="BB64" s="19">
        <f t="shared" si="20"/>
        <v>3.305100259149059E-3</v>
      </c>
      <c r="BC64" s="19"/>
      <c r="BD64" s="19">
        <f t="shared" si="20"/>
        <v>4.3612086215231778E-2</v>
      </c>
    </row>
    <row r="65" spans="1:56" x14ac:dyDescent="0.3">
      <c r="A65" s="15" t="s">
        <v>105</v>
      </c>
      <c r="B65" t="s">
        <v>102</v>
      </c>
      <c r="C65">
        <f>COUNT(C17:C18)</f>
        <v>2</v>
      </c>
      <c r="D65">
        <f t="shared" ref="D65:BD65" si="21">COUNT(D17:D18)</f>
        <v>2</v>
      </c>
      <c r="E65">
        <f t="shared" si="21"/>
        <v>2</v>
      </c>
      <c r="F65">
        <f t="shared" si="21"/>
        <v>2</v>
      </c>
      <c r="G65">
        <f t="shared" si="21"/>
        <v>2</v>
      </c>
      <c r="H65">
        <f t="shared" si="21"/>
        <v>2</v>
      </c>
      <c r="I65">
        <f t="shared" si="21"/>
        <v>2</v>
      </c>
      <c r="J65">
        <f t="shared" si="21"/>
        <v>2</v>
      </c>
      <c r="K65">
        <f t="shared" si="21"/>
        <v>2</v>
      </c>
      <c r="L65">
        <f t="shared" si="21"/>
        <v>2</v>
      </c>
      <c r="M65">
        <f t="shared" si="21"/>
        <v>2</v>
      </c>
      <c r="N65">
        <f t="shared" si="21"/>
        <v>2</v>
      </c>
      <c r="O65">
        <f t="shared" si="21"/>
        <v>2</v>
      </c>
      <c r="P65">
        <f t="shared" si="21"/>
        <v>1</v>
      </c>
      <c r="Q65">
        <f t="shared" si="21"/>
        <v>0</v>
      </c>
      <c r="R65">
        <f t="shared" si="21"/>
        <v>2</v>
      </c>
      <c r="S65">
        <f t="shared" si="21"/>
        <v>2</v>
      </c>
      <c r="T65">
        <f t="shared" si="21"/>
        <v>2</v>
      </c>
      <c r="U65">
        <f t="shared" si="21"/>
        <v>2</v>
      </c>
      <c r="V65">
        <f t="shared" si="21"/>
        <v>0</v>
      </c>
      <c r="W65">
        <f t="shared" si="21"/>
        <v>0</v>
      </c>
      <c r="X65">
        <f t="shared" si="21"/>
        <v>2</v>
      </c>
      <c r="Y65">
        <f t="shared" si="21"/>
        <v>2</v>
      </c>
      <c r="Z65">
        <f t="shared" si="21"/>
        <v>2</v>
      </c>
      <c r="AA65">
        <f t="shared" si="21"/>
        <v>1</v>
      </c>
      <c r="AB65">
        <f t="shared" si="21"/>
        <v>1</v>
      </c>
      <c r="AC65">
        <f t="shared" si="21"/>
        <v>0</v>
      </c>
      <c r="AD65">
        <f t="shared" si="21"/>
        <v>1</v>
      </c>
      <c r="AE65">
        <f t="shared" si="21"/>
        <v>2</v>
      </c>
      <c r="AF65">
        <f t="shared" si="21"/>
        <v>2</v>
      </c>
      <c r="AG65">
        <f t="shared" si="21"/>
        <v>2</v>
      </c>
      <c r="AH65">
        <f t="shared" si="21"/>
        <v>2</v>
      </c>
      <c r="AI65">
        <f t="shared" si="21"/>
        <v>2</v>
      </c>
      <c r="AJ65">
        <f t="shared" si="21"/>
        <v>2</v>
      </c>
      <c r="AK65">
        <f t="shared" si="21"/>
        <v>2</v>
      </c>
      <c r="AL65">
        <f t="shared" si="21"/>
        <v>2</v>
      </c>
      <c r="AM65">
        <f t="shared" si="21"/>
        <v>2</v>
      </c>
      <c r="AN65">
        <f t="shared" si="21"/>
        <v>2</v>
      </c>
      <c r="AO65">
        <f t="shared" si="21"/>
        <v>1</v>
      </c>
      <c r="AP65">
        <f t="shared" si="21"/>
        <v>2</v>
      </c>
      <c r="AQ65">
        <f t="shared" si="21"/>
        <v>0</v>
      </c>
      <c r="AR65">
        <f t="shared" si="21"/>
        <v>0</v>
      </c>
      <c r="AS65">
        <f t="shared" si="21"/>
        <v>0</v>
      </c>
      <c r="AT65">
        <f t="shared" si="21"/>
        <v>0</v>
      </c>
      <c r="AU65">
        <f t="shared" si="21"/>
        <v>0</v>
      </c>
      <c r="AV65">
        <f t="shared" si="21"/>
        <v>1</v>
      </c>
      <c r="AW65">
        <f t="shared" si="21"/>
        <v>1</v>
      </c>
      <c r="AX65">
        <f t="shared" si="21"/>
        <v>0</v>
      </c>
      <c r="AY65">
        <f t="shared" si="21"/>
        <v>0</v>
      </c>
      <c r="AZ65">
        <f t="shared" si="21"/>
        <v>2</v>
      </c>
      <c r="BA65">
        <f t="shared" si="21"/>
        <v>2</v>
      </c>
      <c r="BB65">
        <f t="shared" si="21"/>
        <v>2</v>
      </c>
      <c r="BC65">
        <f t="shared" si="21"/>
        <v>1</v>
      </c>
      <c r="BD65">
        <f t="shared" si="21"/>
        <v>2</v>
      </c>
    </row>
    <row r="67" spans="1:56" x14ac:dyDescent="0.3">
      <c r="A67" s="15" t="s">
        <v>106</v>
      </c>
      <c r="B67" t="s">
        <v>66</v>
      </c>
      <c r="C67">
        <f>AVERAGE(C19:C20)</f>
        <v>210.54676626214058</v>
      </c>
      <c r="D67">
        <f t="shared" ref="D67:BC67" si="22">AVERAGE(D19:D20)</f>
        <v>208.66935666595447</v>
      </c>
      <c r="E67">
        <f t="shared" si="22"/>
        <v>13.441745451477555</v>
      </c>
      <c r="F67">
        <f t="shared" si="22"/>
        <v>5693.9912736065835</v>
      </c>
      <c r="H67">
        <f t="shared" si="22"/>
        <v>12686.175586606892</v>
      </c>
      <c r="I67">
        <f t="shared" si="22"/>
        <v>12159.095701432761</v>
      </c>
      <c r="J67">
        <f t="shared" si="22"/>
        <v>0.84270491229808597</v>
      </c>
      <c r="K67">
        <f t="shared" si="22"/>
        <v>2.4004753521513926E-2</v>
      </c>
      <c r="L67">
        <f t="shared" si="22"/>
        <v>0.15069447569101127</v>
      </c>
      <c r="M67">
        <f t="shared" si="22"/>
        <v>0.78904269805379268</v>
      </c>
      <c r="N67">
        <f t="shared" si="22"/>
        <v>20.188387593712555</v>
      </c>
      <c r="O67">
        <f t="shared" si="22"/>
        <v>20.684815138238342</v>
      </c>
      <c r="Q67">
        <f t="shared" si="22"/>
        <v>0.17210320477006583</v>
      </c>
      <c r="R67">
        <f t="shared" si="22"/>
        <v>6.5208317624411968E-2</v>
      </c>
      <c r="S67">
        <f t="shared" si="22"/>
        <v>7.2535667745932189E-2</v>
      </c>
      <c r="T67">
        <f t="shared" si="22"/>
        <v>5.3673719485320248</v>
      </c>
      <c r="U67">
        <f t="shared" si="22"/>
        <v>5.5795041751566892</v>
      </c>
      <c r="X67">
        <f t="shared" si="22"/>
        <v>2.2491117119101841E-2</v>
      </c>
      <c r="Y67">
        <f t="shared" si="22"/>
        <v>7.1505068999669401</v>
      </c>
      <c r="Z67">
        <f t="shared" si="22"/>
        <v>0.38381659677526764</v>
      </c>
      <c r="AA67">
        <f t="shared" si="22"/>
        <v>7.0528297280643706E-2</v>
      </c>
      <c r="AF67">
        <f t="shared" si="22"/>
        <v>5.1145621293825338E-4</v>
      </c>
      <c r="AG67">
        <f t="shared" si="22"/>
        <v>7.5415095390622717</v>
      </c>
      <c r="AH67">
        <f t="shared" si="22"/>
        <v>1.2781386613105194E-2</v>
      </c>
      <c r="AI67">
        <f t="shared" si="22"/>
        <v>2.6256176551462052E-2</v>
      </c>
      <c r="AJ67">
        <f t="shared" si="22"/>
        <v>2.5606764988722729E-3</v>
      </c>
      <c r="AK67">
        <f t="shared" si="22"/>
        <v>9.7703879659718183E-3</v>
      </c>
      <c r="AL67">
        <f t="shared" si="22"/>
        <v>1.8041301863312598E-3</v>
      </c>
      <c r="AM67">
        <f t="shared" si="22"/>
        <v>5.1909261199747372E-4</v>
      </c>
      <c r="AN67">
        <f t="shared" si="22"/>
        <v>1.7286140342308385E-3</v>
      </c>
      <c r="AP67">
        <f t="shared" si="22"/>
        <v>1.4169306369721114E-3</v>
      </c>
      <c r="AV67">
        <f t="shared" si="22"/>
        <v>0.2252383139755138</v>
      </c>
      <c r="AW67">
        <f t="shared" si="22"/>
        <v>0.38998051200569228</v>
      </c>
      <c r="AZ67">
        <f t="shared" si="22"/>
        <v>0.32077704568088938</v>
      </c>
      <c r="BA67">
        <f t="shared" si="22"/>
        <v>0.29979877721315928</v>
      </c>
      <c r="BB67">
        <f t="shared" si="22"/>
        <v>0.31002127092634185</v>
      </c>
      <c r="BC67">
        <f t="shared" si="22"/>
        <v>0.33469457482903497</v>
      </c>
    </row>
    <row r="68" spans="1:56" x14ac:dyDescent="0.3">
      <c r="A68" s="15" t="s">
        <v>106</v>
      </c>
      <c r="B68" t="s">
        <v>67</v>
      </c>
      <c r="C68">
        <f>_xlfn.STDEV.P(C19:C20)</f>
        <v>1.035976792804135</v>
      </c>
      <c r="D68">
        <f t="shared" ref="D68:BC68" si="23">_xlfn.STDEV.P(D19:D20)</f>
        <v>2.1399579574288907</v>
      </c>
      <c r="E68">
        <f t="shared" si="23"/>
        <v>8.8513963457319988E-2</v>
      </c>
      <c r="F68">
        <f t="shared" si="23"/>
        <v>112.45069666417066</v>
      </c>
      <c r="H68">
        <f t="shared" si="23"/>
        <v>122.65756417095054</v>
      </c>
      <c r="I68">
        <f t="shared" si="23"/>
        <v>134.28277691437415</v>
      </c>
      <c r="J68">
        <f t="shared" si="23"/>
        <v>1.6054057021963608E-3</v>
      </c>
      <c r="K68">
        <f t="shared" si="23"/>
        <v>1.1243232256167232E-3</v>
      </c>
      <c r="L68">
        <f t="shared" si="23"/>
        <v>1.8472635816269012E-4</v>
      </c>
      <c r="M68">
        <f t="shared" si="23"/>
        <v>3.834158374041885E-3</v>
      </c>
      <c r="N68">
        <f t="shared" si="23"/>
        <v>0.14138378749317582</v>
      </c>
      <c r="O68">
        <f t="shared" si="23"/>
        <v>0.37802429391106607</v>
      </c>
      <c r="Q68">
        <f t="shared" si="23"/>
        <v>3.4071339624419938E-3</v>
      </c>
      <c r="R68">
        <f t="shared" si="23"/>
        <v>3.5533186455526354E-3</v>
      </c>
      <c r="S68">
        <f t="shared" si="23"/>
        <v>1.4778551404149159E-3</v>
      </c>
      <c r="T68">
        <f t="shared" si="23"/>
        <v>4.1281988154254989E-2</v>
      </c>
      <c r="U68">
        <f t="shared" si="23"/>
        <v>2.432265106945275E-2</v>
      </c>
      <c r="X68">
        <f t="shared" si="23"/>
        <v>0</v>
      </c>
      <c r="Y68">
        <f t="shared" si="23"/>
        <v>0.3650002040370226</v>
      </c>
      <c r="Z68">
        <f t="shared" si="23"/>
        <v>6.0738706705706726E-2</v>
      </c>
      <c r="AA68">
        <f t="shared" si="23"/>
        <v>0</v>
      </c>
      <c r="AF68">
        <f t="shared" si="23"/>
        <v>7.1139728882373306E-5</v>
      </c>
      <c r="AG68">
        <f t="shared" si="23"/>
        <v>7.1271408364249389E-2</v>
      </c>
      <c r="AH68">
        <f t="shared" si="23"/>
        <v>6.6594758962547004E-6</v>
      </c>
      <c r="AI68">
        <f t="shared" si="23"/>
        <v>3.0687274527479991E-4</v>
      </c>
      <c r="AJ68">
        <f t="shared" si="23"/>
        <v>7.6374043048670244E-5</v>
      </c>
      <c r="AK68">
        <f t="shared" si="23"/>
        <v>1.9049136332280597E-4</v>
      </c>
      <c r="AL68">
        <f t="shared" si="23"/>
        <v>1.3741841673384886E-4</v>
      </c>
      <c r="AM68">
        <f t="shared" si="23"/>
        <v>5.3104076346101097E-6</v>
      </c>
      <c r="AN68">
        <f t="shared" si="23"/>
        <v>8.268634886777885E-6</v>
      </c>
      <c r="AP68">
        <f t="shared" si="23"/>
        <v>8.2235012656460028E-5</v>
      </c>
      <c r="AV68">
        <f t="shared" si="23"/>
        <v>8.919895762814091E-2</v>
      </c>
      <c r="AW68">
        <f t="shared" si="23"/>
        <v>7.2301100672143279E-2</v>
      </c>
      <c r="AZ68">
        <f t="shared" si="23"/>
        <v>3.4970196349541349E-3</v>
      </c>
      <c r="BA68">
        <f t="shared" si="23"/>
        <v>3.2793154049498563E-4</v>
      </c>
      <c r="BB68">
        <f t="shared" si="23"/>
        <v>2.2206546087966128E-3</v>
      </c>
      <c r="BC68">
        <f t="shared" si="23"/>
        <v>0</v>
      </c>
    </row>
    <row r="69" spans="1:56" x14ac:dyDescent="0.3">
      <c r="A69" s="15" t="s">
        <v>106</v>
      </c>
      <c r="B69" t="s">
        <v>68</v>
      </c>
      <c r="C69" s="19">
        <f>C68/C67</f>
        <v>4.9204117982714372E-3</v>
      </c>
      <c r="D69" s="19">
        <f t="shared" ref="D69:BB69" si="24">D68/D67</f>
        <v>1.0255257368021763E-2</v>
      </c>
      <c r="E69" s="19">
        <f t="shared" si="24"/>
        <v>6.5850051823136023E-3</v>
      </c>
      <c r="F69" s="19">
        <f t="shared" si="24"/>
        <v>1.9749011064596207E-2</v>
      </c>
      <c r="G69" s="19"/>
      <c r="H69" s="19">
        <f t="shared" si="24"/>
        <v>9.6686005434485026E-3</v>
      </c>
      <c r="I69" s="19">
        <f t="shared" si="24"/>
        <v>1.1043812814019631E-2</v>
      </c>
      <c r="J69" s="19">
        <f t="shared" si="24"/>
        <v>1.9050627079155893E-3</v>
      </c>
      <c r="K69" s="19">
        <f t="shared" si="24"/>
        <v>4.68375242682273E-2</v>
      </c>
      <c r="L69" s="19">
        <f t="shared" si="24"/>
        <v>1.2258336433079266E-3</v>
      </c>
      <c r="M69" s="19">
        <f t="shared" si="24"/>
        <v>4.859253350292702E-3</v>
      </c>
      <c r="N69" s="19">
        <f t="shared" si="24"/>
        <v>7.0032233548561447E-3</v>
      </c>
      <c r="O69" s="19">
        <f t="shared" si="24"/>
        <v>1.8275449472702474E-2</v>
      </c>
      <c r="P69" s="19"/>
      <c r="Q69" s="19">
        <f t="shared" si="24"/>
        <v>1.9797039613492436E-2</v>
      </c>
      <c r="R69" s="19">
        <f t="shared" si="24"/>
        <v>5.4491800662901678E-2</v>
      </c>
      <c r="S69" s="19">
        <f t="shared" si="24"/>
        <v>2.0374185367553803E-2</v>
      </c>
      <c r="T69" s="19">
        <f t="shared" si="24"/>
        <v>7.691285148506543E-3</v>
      </c>
      <c r="U69" s="19">
        <f t="shared" si="24"/>
        <v>4.3592853963174416E-3</v>
      </c>
      <c r="V69" s="19"/>
      <c r="W69" s="19"/>
      <c r="X69" s="19"/>
      <c r="Y69" s="19">
        <f t="shared" si="24"/>
        <v>5.1045360719630964E-2</v>
      </c>
      <c r="Z69" s="19"/>
      <c r="AA69" s="19"/>
      <c r="AB69" s="19"/>
      <c r="AC69" s="19"/>
      <c r="AD69" s="19"/>
      <c r="AE69" s="19"/>
      <c r="AF69" s="19">
        <f t="shared" si="24"/>
        <v>0.13909251091835265</v>
      </c>
      <c r="AG69" s="19">
        <f t="shared" si="24"/>
        <v>9.4505493886985707E-3</v>
      </c>
      <c r="AH69" s="19">
        <f t="shared" si="24"/>
        <v>5.210292198990766E-4</v>
      </c>
      <c r="AI69" s="19">
        <f t="shared" si="24"/>
        <v>1.1687640227179687E-2</v>
      </c>
      <c r="AJ69" s="19">
        <f t="shared" si="24"/>
        <v>2.9825728897151016E-2</v>
      </c>
      <c r="AK69" s="19">
        <f t="shared" si="24"/>
        <v>1.9496806471375226E-2</v>
      </c>
      <c r="AL69" s="19">
        <f t="shared" si="24"/>
        <v>7.6168791905916924E-2</v>
      </c>
      <c r="AM69" s="19">
        <f t="shared" si="24"/>
        <v>1.0230173791485119E-2</v>
      </c>
      <c r="AN69" s="19">
        <f t="shared" si="24"/>
        <v>4.7833898852134935E-3</v>
      </c>
      <c r="AO69" s="19"/>
      <c r="AP69" s="19">
        <f t="shared" si="24"/>
        <v>5.803742999882542E-2</v>
      </c>
      <c r="AQ69" s="19"/>
      <c r="AR69" s="19"/>
      <c r="AS69" s="19"/>
      <c r="AT69" s="19"/>
      <c r="AU69" s="19"/>
      <c r="AV69" s="19">
        <f t="shared" si="24"/>
        <v>0.39602035752158021</v>
      </c>
      <c r="AW69" s="19">
        <f t="shared" si="24"/>
        <v>0.18539670174874776</v>
      </c>
      <c r="AX69" s="19"/>
      <c r="AY69" s="19"/>
      <c r="AZ69" s="19">
        <f t="shared" si="24"/>
        <v>1.0901714078484866E-2</v>
      </c>
      <c r="BA69" s="19">
        <f t="shared" si="24"/>
        <v>1.093838819301867E-3</v>
      </c>
      <c r="BB69" s="19">
        <f t="shared" si="24"/>
        <v>7.1629104743726425E-3</v>
      </c>
      <c r="BC69" s="19"/>
      <c r="BD69" s="19"/>
    </row>
    <row r="70" spans="1:56" x14ac:dyDescent="0.3">
      <c r="A70" s="15" t="s">
        <v>106</v>
      </c>
      <c r="B70" t="s">
        <v>102</v>
      </c>
      <c r="C70">
        <f>COUNT(C19:C20)</f>
        <v>2</v>
      </c>
      <c r="D70">
        <f t="shared" ref="D70:BD70" si="25">COUNT(D19:D20)</f>
        <v>2</v>
      </c>
      <c r="E70">
        <f t="shared" si="25"/>
        <v>2</v>
      </c>
      <c r="F70">
        <f t="shared" si="25"/>
        <v>2</v>
      </c>
      <c r="G70">
        <f t="shared" si="25"/>
        <v>0</v>
      </c>
      <c r="H70">
        <f t="shared" si="25"/>
        <v>2</v>
      </c>
      <c r="I70">
        <f t="shared" si="25"/>
        <v>2</v>
      </c>
      <c r="J70">
        <f t="shared" si="25"/>
        <v>2</v>
      </c>
      <c r="K70">
        <f t="shared" si="25"/>
        <v>2</v>
      </c>
      <c r="L70">
        <f t="shared" si="25"/>
        <v>2</v>
      </c>
      <c r="M70">
        <f t="shared" si="25"/>
        <v>2</v>
      </c>
      <c r="N70">
        <f t="shared" si="25"/>
        <v>2</v>
      </c>
      <c r="O70">
        <f t="shared" si="25"/>
        <v>2</v>
      </c>
      <c r="P70">
        <f t="shared" si="25"/>
        <v>0</v>
      </c>
      <c r="Q70">
        <f t="shared" si="25"/>
        <v>2</v>
      </c>
      <c r="R70">
        <f t="shared" si="25"/>
        <v>2</v>
      </c>
      <c r="S70">
        <f t="shared" si="25"/>
        <v>2</v>
      </c>
      <c r="T70">
        <f t="shared" si="25"/>
        <v>2</v>
      </c>
      <c r="U70">
        <f t="shared" si="25"/>
        <v>2</v>
      </c>
      <c r="V70">
        <f t="shared" si="25"/>
        <v>0</v>
      </c>
      <c r="W70">
        <f t="shared" si="25"/>
        <v>0</v>
      </c>
      <c r="X70">
        <f t="shared" si="25"/>
        <v>1</v>
      </c>
      <c r="Y70">
        <f t="shared" si="25"/>
        <v>2</v>
      </c>
      <c r="Z70">
        <f t="shared" si="25"/>
        <v>2</v>
      </c>
      <c r="AA70">
        <f t="shared" si="25"/>
        <v>1</v>
      </c>
      <c r="AB70">
        <f t="shared" si="25"/>
        <v>0</v>
      </c>
      <c r="AC70">
        <f t="shared" si="25"/>
        <v>0</v>
      </c>
      <c r="AD70">
        <f t="shared" si="25"/>
        <v>0</v>
      </c>
      <c r="AE70">
        <f t="shared" si="25"/>
        <v>0</v>
      </c>
      <c r="AF70">
        <f t="shared" si="25"/>
        <v>2</v>
      </c>
      <c r="AG70">
        <f t="shared" si="25"/>
        <v>2</v>
      </c>
      <c r="AH70">
        <f t="shared" si="25"/>
        <v>2</v>
      </c>
      <c r="AI70">
        <f t="shared" si="25"/>
        <v>2</v>
      </c>
      <c r="AJ70">
        <f t="shared" si="25"/>
        <v>2</v>
      </c>
      <c r="AK70">
        <f t="shared" si="25"/>
        <v>2</v>
      </c>
      <c r="AL70">
        <f t="shared" si="25"/>
        <v>2</v>
      </c>
      <c r="AM70">
        <f t="shared" si="25"/>
        <v>2</v>
      </c>
      <c r="AN70">
        <f t="shared" si="25"/>
        <v>2</v>
      </c>
      <c r="AO70">
        <f t="shared" si="25"/>
        <v>0</v>
      </c>
      <c r="AP70">
        <f t="shared" si="25"/>
        <v>2</v>
      </c>
      <c r="AQ70">
        <f t="shared" si="25"/>
        <v>0</v>
      </c>
      <c r="AR70">
        <f t="shared" si="25"/>
        <v>0</v>
      </c>
      <c r="AS70">
        <f t="shared" si="25"/>
        <v>0</v>
      </c>
      <c r="AT70">
        <f t="shared" si="25"/>
        <v>0</v>
      </c>
      <c r="AU70">
        <f t="shared" si="25"/>
        <v>0</v>
      </c>
      <c r="AV70">
        <f t="shared" si="25"/>
        <v>2</v>
      </c>
      <c r="AW70">
        <f t="shared" si="25"/>
        <v>2</v>
      </c>
      <c r="AX70">
        <f t="shared" si="25"/>
        <v>0</v>
      </c>
      <c r="AY70">
        <f t="shared" si="25"/>
        <v>0</v>
      </c>
      <c r="AZ70">
        <f t="shared" si="25"/>
        <v>2</v>
      </c>
      <c r="BA70">
        <f t="shared" si="25"/>
        <v>2</v>
      </c>
      <c r="BB70">
        <f t="shared" si="25"/>
        <v>2</v>
      </c>
      <c r="BC70">
        <f t="shared" si="25"/>
        <v>1</v>
      </c>
      <c r="BD70">
        <f t="shared" si="25"/>
        <v>0</v>
      </c>
    </row>
    <row r="72" spans="1:56" x14ac:dyDescent="0.3">
      <c r="A72" s="15" t="s">
        <v>107</v>
      </c>
      <c r="B72" t="s">
        <v>66</v>
      </c>
      <c r="C72">
        <f>AVERAGE(C21:C23)</f>
        <v>191.3332942977363</v>
      </c>
      <c r="D72">
        <f t="shared" ref="D72:BC72" si="26">AVERAGE(D21:D23)</f>
        <v>207.63474126655038</v>
      </c>
      <c r="E72">
        <f t="shared" si="26"/>
        <v>18.706581369896572</v>
      </c>
      <c r="F72">
        <f t="shared" si="26"/>
        <v>5181.1023362533924</v>
      </c>
      <c r="G72">
        <f t="shared" si="26"/>
        <v>9.1895416851239755</v>
      </c>
      <c r="H72">
        <f t="shared" si="26"/>
        <v>12002.834106146782</v>
      </c>
      <c r="I72">
        <f t="shared" si="26"/>
        <v>11937.990826111572</v>
      </c>
      <c r="J72">
        <f t="shared" si="26"/>
        <v>1.1150031689319821</v>
      </c>
      <c r="K72">
        <f t="shared" si="26"/>
        <v>2.6041366374977948E-2</v>
      </c>
      <c r="L72">
        <f t="shared" si="26"/>
        <v>0.18322145248350749</v>
      </c>
      <c r="M72">
        <f t="shared" si="26"/>
        <v>1.2693034907945295</v>
      </c>
      <c r="N72">
        <f t="shared" si="26"/>
        <v>20.7821563559264</v>
      </c>
      <c r="O72">
        <f t="shared" si="26"/>
        <v>21.138919452963879</v>
      </c>
      <c r="Q72">
        <f t="shared" si="26"/>
        <v>0.18466824420046046</v>
      </c>
      <c r="R72">
        <f t="shared" si="26"/>
        <v>7.5480331627203814E-2</v>
      </c>
      <c r="S72">
        <f t="shared" si="26"/>
        <v>7.4590707129113198E-2</v>
      </c>
      <c r="T72">
        <f t="shared" si="26"/>
        <v>4.9791458442663812</v>
      </c>
      <c r="U72">
        <f t="shared" si="26"/>
        <v>5.1738344728864192</v>
      </c>
      <c r="X72">
        <f t="shared" si="26"/>
        <v>3.1811848858525157E-2</v>
      </c>
      <c r="Y72">
        <f t="shared" si="26"/>
        <v>7.20413664053416</v>
      </c>
      <c r="Z72">
        <f t="shared" si="26"/>
        <v>0.17771367727701029</v>
      </c>
      <c r="AA72">
        <f t="shared" si="26"/>
        <v>0.11372926322919807</v>
      </c>
      <c r="AB72">
        <f t="shared" si="26"/>
        <v>0.11096081858151914</v>
      </c>
      <c r="AE72">
        <f t="shared" si="26"/>
        <v>1.8769568335748669E-2</v>
      </c>
      <c r="AF72">
        <f t="shared" si="26"/>
        <v>5.5938446045201377E-4</v>
      </c>
      <c r="AG72">
        <f t="shared" si="26"/>
        <v>6.796869462062662</v>
      </c>
      <c r="AH72">
        <f t="shared" si="26"/>
        <v>1.3956860467134222E-2</v>
      </c>
      <c r="AI72">
        <f t="shared" si="26"/>
        <v>2.9475428656039179E-2</v>
      </c>
      <c r="AJ72">
        <f t="shared" si="26"/>
        <v>2.8990968167460318E-3</v>
      </c>
      <c r="AK72">
        <f t="shared" si="26"/>
        <v>1.1993560705545974E-2</v>
      </c>
      <c r="AL72">
        <f t="shared" si="26"/>
        <v>2.187480996162932E-3</v>
      </c>
      <c r="AN72">
        <f t="shared" si="26"/>
        <v>2.1021249498517085E-3</v>
      </c>
      <c r="AP72">
        <f t="shared" si="26"/>
        <v>1.5930174354382969E-3</v>
      </c>
      <c r="AR72">
        <f t="shared" si="26"/>
        <v>1.0412461008551532E-3</v>
      </c>
      <c r="AS72">
        <f t="shared" si="26"/>
        <v>1.4715162117361289E-4</v>
      </c>
      <c r="AV72">
        <f t="shared" si="26"/>
        <v>6.2137862890948407E-2</v>
      </c>
      <c r="AW72">
        <f t="shared" si="26"/>
        <v>1.1463705745016466</v>
      </c>
      <c r="BC72">
        <f t="shared" si="26"/>
        <v>5.3169895531878675E-2</v>
      </c>
    </row>
    <row r="73" spans="1:56" x14ac:dyDescent="0.3">
      <c r="A73" s="15" t="s">
        <v>107</v>
      </c>
      <c r="B73" t="s">
        <v>67</v>
      </c>
      <c r="C73">
        <f>_xlfn.STDEV.P(C21:C23)</f>
        <v>1.4020216295359214</v>
      </c>
      <c r="D73">
        <f t="shared" ref="D73:BC73" si="27">_xlfn.STDEV.P(D21:D23)</f>
        <v>1.6922445783442328</v>
      </c>
      <c r="E73">
        <f t="shared" si="27"/>
        <v>0.13402086048682579</v>
      </c>
      <c r="F73">
        <f t="shared" si="27"/>
        <v>24.450382550689771</v>
      </c>
      <c r="G73">
        <f t="shared" si="27"/>
        <v>0.81910637768978378</v>
      </c>
      <c r="H73">
        <f t="shared" si="27"/>
        <v>91.089447932151757</v>
      </c>
      <c r="I73">
        <f t="shared" si="27"/>
        <v>5.8710471430221309</v>
      </c>
      <c r="J73">
        <f t="shared" si="27"/>
        <v>8.0972078080712287E-2</v>
      </c>
      <c r="K73">
        <f t="shared" si="27"/>
        <v>9.9031117878674063E-4</v>
      </c>
      <c r="L73">
        <f t="shared" si="27"/>
        <v>1.7011996113463642E-3</v>
      </c>
      <c r="M73">
        <f t="shared" si="27"/>
        <v>0.12631368492866218</v>
      </c>
      <c r="N73">
        <f t="shared" si="27"/>
        <v>8.4683074586208898E-2</v>
      </c>
      <c r="O73">
        <f t="shared" si="27"/>
        <v>0.17396295059283176</v>
      </c>
      <c r="Q73">
        <f t="shared" si="27"/>
        <v>8.5358947412485578E-3</v>
      </c>
      <c r="R73">
        <f t="shared" si="27"/>
        <v>1.0236031751335673E-3</v>
      </c>
      <c r="S73">
        <f t="shared" si="27"/>
        <v>2.1700411761608907E-3</v>
      </c>
      <c r="T73">
        <f t="shared" si="27"/>
        <v>3.096004613231616E-2</v>
      </c>
      <c r="U73">
        <f t="shared" si="27"/>
        <v>3.768419629472438E-2</v>
      </c>
      <c r="X73">
        <f t="shared" si="27"/>
        <v>1.1657953864034289E-3</v>
      </c>
      <c r="Y73">
        <f t="shared" si="27"/>
        <v>5.0076715060167566E-2</v>
      </c>
      <c r="Z73">
        <f t="shared" si="27"/>
        <v>1.6328388133534596E-2</v>
      </c>
      <c r="AA73">
        <f t="shared" si="27"/>
        <v>1.1722403828212788E-2</v>
      </c>
      <c r="AB73">
        <f t="shared" si="27"/>
        <v>1.402792569714586E-2</v>
      </c>
      <c r="AE73">
        <f t="shared" si="27"/>
        <v>2.4922781160225614E-4</v>
      </c>
      <c r="AF73">
        <f t="shared" si="27"/>
        <v>2.6411344820072037E-5</v>
      </c>
      <c r="AG73">
        <f t="shared" si="27"/>
        <v>8.4201132530976733E-2</v>
      </c>
      <c r="AH73">
        <f t="shared" si="27"/>
        <v>1.2213110303620821E-4</v>
      </c>
      <c r="AI73">
        <f t="shared" si="27"/>
        <v>5.0940796833506591E-4</v>
      </c>
      <c r="AJ73">
        <f t="shared" si="27"/>
        <v>8.3215074924507173E-5</v>
      </c>
      <c r="AK73">
        <f t="shared" si="27"/>
        <v>3.2357733362019383E-4</v>
      </c>
      <c r="AL73">
        <f t="shared" si="27"/>
        <v>1.4129695015693234E-4</v>
      </c>
      <c r="AN73">
        <f t="shared" si="27"/>
        <v>1.404979738148242E-4</v>
      </c>
      <c r="AP73">
        <f t="shared" si="27"/>
        <v>1.6064298515497567E-4</v>
      </c>
      <c r="AR73">
        <f t="shared" si="27"/>
        <v>0</v>
      </c>
      <c r="AS73">
        <f t="shared" si="27"/>
        <v>1.1114036083552706E-6</v>
      </c>
      <c r="AV73">
        <f t="shared" si="27"/>
        <v>1.1813160394773243E-2</v>
      </c>
      <c r="AW73">
        <f t="shared" si="27"/>
        <v>6.6411088036455332E-2</v>
      </c>
      <c r="BC73">
        <f t="shared" si="27"/>
        <v>1.312452082378753E-2</v>
      </c>
    </row>
    <row r="74" spans="1:56" x14ac:dyDescent="0.3">
      <c r="A74" s="15" t="s">
        <v>107</v>
      </c>
      <c r="B74" t="s">
        <v>68</v>
      </c>
      <c r="C74" s="19">
        <f>C73/C72</f>
        <v>7.3276406737356262E-3</v>
      </c>
      <c r="D74" s="19">
        <f t="shared" ref="D74:BC74" si="28">D73/D72</f>
        <v>8.1501032439066628E-3</v>
      </c>
      <c r="E74" s="19">
        <f t="shared" si="28"/>
        <v>7.1643694717249554E-3</v>
      </c>
      <c r="F74" s="19">
        <f t="shared" si="28"/>
        <v>4.7191468077371658E-3</v>
      </c>
      <c r="G74" s="19">
        <f t="shared" si="28"/>
        <v>8.9134627792782389E-2</v>
      </c>
      <c r="H74" s="19">
        <f t="shared" si="28"/>
        <v>7.5889949928995403E-3</v>
      </c>
      <c r="I74" s="19">
        <f t="shared" si="28"/>
        <v>4.917952466658446E-4</v>
      </c>
      <c r="J74" s="19">
        <f t="shared" si="28"/>
        <v>7.2620491436156426E-2</v>
      </c>
      <c r="K74" s="19">
        <f t="shared" si="28"/>
        <v>3.8028387778388191E-2</v>
      </c>
      <c r="L74" s="19">
        <f t="shared" si="28"/>
        <v>9.2849368252852157E-3</v>
      </c>
      <c r="M74" s="19">
        <f t="shared" si="28"/>
        <v>9.9514171232283649E-2</v>
      </c>
      <c r="N74" s="19">
        <f t="shared" si="28"/>
        <v>4.0747972989848098E-3</v>
      </c>
      <c r="O74" s="19">
        <f t="shared" si="28"/>
        <v>8.2295100740563398E-3</v>
      </c>
      <c r="P74" s="19"/>
      <c r="Q74" s="19">
        <f t="shared" si="28"/>
        <v>4.6222861858060994E-2</v>
      </c>
      <c r="R74" s="19">
        <f t="shared" si="28"/>
        <v>1.3561190750845232E-2</v>
      </c>
      <c r="S74" s="19">
        <f t="shared" si="28"/>
        <v>2.9092647860337963E-2</v>
      </c>
      <c r="T74" s="19">
        <f t="shared" si="28"/>
        <v>6.2179432177041924E-3</v>
      </c>
      <c r="U74" s="19">
        <f t="shared" si="28"/>
        <v>7.2836107324672156E-3</v>
      </c>
      <c r="V74" s="19"/>
      <c r="W74" s="19"/>
      <c r="X74" s="19">
        <f t="shared" si="28"/>
        <v>3.664657755630607E-2</v>
      </c>
      <c r="Y74" s="19">
        <f t="shared" si="28"/>
        <v>6.9511056714846768E-3</v>
      </c>
      <c r="Z74" s="19">
        <f t="shared" si="28"/>
        <v>9.1880312104975492E-2</v>
      </c>
      <c r="AA74" s="19">
        <f t="shared" si="28"/>
        <v>0.10307288990863046</v>
      </c>
      <c r="AB74" s="19">
        <f t="shared" si="28"/>
        <v>0.12642233426603661</v>
      </c>
      <c r="AC74" s="19"/>
      <c r="AD74" s="19"/>
      <c r="AE74" s="19">
        <f t="shared" si="28"/>
        <v>1.3278292134591868E-2</v>
      </c>
      <c r="AF74" s="19">
        <f t="shared" si="28"/>
        <v>4.7215013443044525E-2</v>
      </c>
      <c r="AG74" s="19">
        <f t="shared" si="28"/>
        <v>1.2388222695897417E-2</v>
      </c>
      <c r="AH74" s="19">
        <f t="shared" si="28"/>
        <v>8.7506143178692625E-3</v>
      </c>
      <c r="AI74" s="19">
        <f t="shared" si="28"/>
        <v>1.7282461750753673E-2</v>
      </c>
      <c r="AJ74" s="19">
        <f t="shared" si="28"/>
        <v>2.870379300333557E-2</v>
      </c>
      <c r="AK74" s="19">
        <f t="shared" si="28"/>
        <v>2.697925508231826E-2</v>
      </c>
      <c r="AL74" s="19">
        <f t="shared" si="28"/>
        <v>6.4593452653889022E-2</v>
      </c>
      <c r="AM74" s="19"/>
      <c r="AN74" s="19">
        <f t="shared" si="28"/>
        <v>6.6836166815267301E-2</v>
      </c>
      <c r="AO74" s="19"/>
      <c r="AP74" s="19">
        <f t="shared" si="28"/>
        <v>0.10084195036495439</v>
      </c>
      <c r="AQ74" s="19"/>
      <c r="AR74" s="19"/>
      <c r="AS74" s="19">
        <f t="shared" si="28"/>
        <v>7.5527785524293406E-3</v>
      </c>
      <c r="AT74" s="19"/>
      <c r="AU74" s="19"/>
      <c r="AV74" s="19">
        <f t="shared" si="28"/>
        <v>0.19011211273077208</v>
      </c>
      <c r="AW74" s="19">
        <f t="shared" si="28"/>
        <v>5.7931605637492695E-2</v>
      </c>
      <c r="AX74" s="19"/>
      <c r="AY74" s="19"/>
      <c r="AZ74" s="19"/>
      <c r="BA74" s="19"/>
      <c r="BB74" s="19"/>
      <c r="BC74" s="19">
        <f t="shared" si="28"/>
        <v>0.24684120012834254</v>
      </c>
      <c r="BD74" s="19"/>
    </row>
    <row r="75" spans="1:56" x14ac:dyDescent="0.3">
      <c r="A75" s="15" t="s">
        <v>107</v>
      </c>
      <c r="B75" t="s">
        <v>102</v>
      </c>
      <c r="C75">
        <f>COUNT(C21:C23)</f>
        <v>3</v>
      </c>
      <c r="D75">
        <f t="shared" ref="D75:BD75" si="29">COUNT(D21:D23)</f>
        <v>3</v>
      </c>
      <c r="E75">
        <f t="shared" si="29"/>
        <v>3</v>
      </c>
      <c r="F75">
        <f t="shared" si="29"/>
        <v>3</v>
      </c>
      <c r="G75">
        <f t="shared" si="29"/>
        <v>3</v>
      </c>
      <c r="H75">
        <f t="shared" si="29"/>
        <v>3</v>
      </c>
      <c r="I75">
        <f t="shared" si="29"/>
        <v>3</v>
      </c>
      <c r="J75">
        <f t="shared" si="29"/>
        <v>3</v>
      </c>
      <c r="K75">
        <f t="shared" si="29"/>
        <v>3</v>
      </c>
      <c r="L75">
        <f t="shared" si="29"/>
        <v>3</v>
      </c>
      <c r="M75">
        <f t="shared" si="29"/>
        <v>3</v>
      </c>
      <c r="N75">
        <f t="shared" si="29"/>
        <v>3</v>
      </c>
      <c r="O75">
        <f t="shared" si="29"/>
        <v>3</v>
      </c>
      <c r="P75">
        <f t="shared" si="29"/>
        <v>0</v>
      </c>
      <c r="Q75">
        <f t="shared" si="29"/>
        <v>3</v>
      </c>
      <c r="R75">
        <f t="shared" si="29"/>
        <v>3</v>
      </c>
      <c r="S75">
        <f t="shared" si="29"/>
        <v>3</v>
      </c>
      <c r="T75">
        <f t="shared" si="29"/>
        <v>3</v>
      </c>
      <c r="U75">
        <f t="shared" si="29"/>
        <v>3</v>
      </c>
      <c r="V75">
        <f t="shared" si="29"/>
        <v>0</v>
      </c>
      <c r="W75">
        <f t="shared" si="29"/>
        <v>0</v>
      </c>
      <c r="X75">
        <f t="shared" si="29"/>
        <v>3</v>
      </c>
      <c r="Y75">
        <f t="shared" si="29"/>
        <v>3</v>
      </c>
      <c r="Z75">
        <f t="shared" si="29"/>
        <v>3</v>
      </c>
      <c r="AA75">
        <f t="shared" si="29"/>
        <v>3</v>
      </c>
      <c r="AB75">
        <f t="shared" si="29"/>
        <v>3</v>
      </c>
      <c r="AC75">
        <f t="shared" si="29"/>
        <v>0</v>
      </c>
      <c r="AD75">
        <f t="shared" si="29"/>
        <v>0</v>
      </c>
      <c r="AE75">
        <f t="shared" si="29"/>
        <v>3</v>
      </c>
      <c r="AF75">
        <f t="shared" si="29"/>
        <v>3</v>
      </c>
      <c r="AG75">
        <f t="shared" si="29"/>
        <v>3</v>
      </c>
      <c r="AH75">
        <f t="shared" si="29"/>
        <v>3</v>
      </c>
      <c r="AI75">
        <f t="shared" si="29"/>
        <v>3</v>
      </c>
      <c r="AJ75">
        <f t="shared" si="29"/>
        <v>3</v>
      </c>
      <c r="AK75">
        <f t="shared" si="29"/>
        <v>3</v>
      </c>
      <c r="AL75">
        <f t="shared" si="29"/>
        <v>3</v>
      </c>
      <c r="AM75">
        <f t="shared" si="29"/>
        <v>0</v>
      </c>
      <c r="AN75">
        <f t="shared" si="29"/>
        <v>3</v>
      </c>
      <c r="AO75">
        <f t="shared" si="29"/>
        <v>0</v>
      </c>
      <c r="AP75">
        <f t="shared" si="29"/>
        <v>3</v>
      </c>
      <c r="AQ75">
        <f t="shared" si="29"/>
        <v>0</v>
      </c>
      <c r="AR75">
        <f t="shared" si="29"/>
        <v>1</v>
      </c>
      <c r="AS75">
        <f t="shared" si="29"/>
        <v>2</v>
      </c>
      <c r="AT75">
        <f t="shared" si="29"/>
        <v>0</v>
      </c>
      <c r="AU75">
        <f t="shared" si="29"/>
        <v>0</v>
      </c>
      <c r="AV75">
        <f t="shared" si="29"/>
        <v>3</v>
      </c>
      <c r="AW75">
        <f t="shared" si="29"/>
        <v>3</v>
      </c>
      <c r="AX75">
        <f t="shared" si="29"/>
        <v>0</v>
      </c>
      <c r="AY75">
        <f t="shared" si="29"/>
        <v>0</v>
      </c>
      <c r="AZ75">
        <f t="shared" si="29"/>
        <v>0</v>
      </c>
      <c r="BA75">
        <f t="shared" si="29"/>
        <v>0</v>
      </c>
      <c r="BB75">
        <f t="shared" si="29"/>
        <v>0</v>
      </c>
      <c r="BC75">
        <f t="shared" si="29"/>
        <v>3</v>
      </c>
      <c r="BD75">
        <f t="shared" si="29"/>
        <v>0</v>
      </c>
    </row>
    <row r="77" spans="1:56" x14ac:dyDescent="0.3">
      <c r="A77" s="1" t="s">
        <v>108</v>
      </c>
      <c r="B77" t="s">
        <v>66</v>
      </c>
      <c r="C77">
        <f t="shared" ref="C77:AD77" si="30">AVERAGE(C24:C34)</f>
        <v>250.15818427411313</v>
      </c>
      <c r="D77">
        <f t="shared" si="30"/>
        <v>249.14809874041075</v>
      </c>
      <c r="E77">
        <f t="shared" si="30"/>
        <v>10.516944711867557</v>
      </c>
      <c r="F77">
        <f t="shared" si="30"/>
        <v>6687.4543994963306</v>
      </c>
      <c r="H77">
        <f t="shared" si="30"/>
        <v>14483.707405040966</v>
      </c>
      <c r="I77">
        <f t="shared" si="30"/>
        <v>14024.025754035752</v>
      </c>
      <c r="J77">
        <f t="shared" si="30"/>
        <v>1.7687709776432778</v>
      </c>
      <c r="K77">
        <f t="shared" si="30"/>
        <v>2.2917085570467895E-2</v>
      </c>
      <c r="L77">
        <f t="shared" si="30"/>
        <v>6.1325008696971481E-2</v>
      </c>
      <c r="M77">
        <f t="shared" si="30"/>
        <v>0.51133731455617693</v>
      </c>
      <c r="N77">
        <f t="shared" si="30"/>
        <v>12.483615900501935</v>
      </c>
      <c r="O77">
        <f t="shared" si="30"/>
        <v>12.776991079157558</v>
      </c>
      <c r="Q77">
        <f t="shared" si="30"/>
        <v>0.1034964674362948</v>
      </c>
      <c r="R77">
        <f t="shared" si="30"/>
        <v>8.4043245199078229E-2</v>
      </c>
      <c r="S77">
        <f t="shared" si="30"/>
        <v>8.1841052398180736E-2</v>
      </c>
      <c r="T77">
        <f t="shared" si="30"/>
        <v>6.1735863215161366</v>
      </c>
      <c r="U77">
        <f t="shared" si="30"/>
        <v>6.4574853637345306</v>
      </c>
      <c r="X77">
        <f t="shared" si="30"/>
        <v>1.9794451929373649E-2</v>
      </c>
      <c r="Y77">
        <f t="shared" si="30"/>
        <v>8.4042987915276353</v>
      </c>
      <c r="Z77">
        <f t="shared" si="30"/>
        <v>0.28165335958154641</v>
      </c>
      <c r="AD77">
        <f t="shared" si="30"/>
        <v>0.18824648789411277</v>
      </c>
      <c r="AG77">
        <f t="shared" ref="AG77:AW77" si="31">AVERAGE(AH24:AH34)</f>
        <v>1.3205560515491295E-2</v>
      </c>
      <c r="AH77">
        <f t="shared" si="31"/>
        <v>3.6888917515933844E-2</v>
      </c>
      <c r="AI77">
        <f t="shared" si="31"/>
        <v>2.7988871880201657E-3</v>
      </c>
      <c r="AJ77">
        <f t="shared" si="31"/>
        <v>9.6243177342636658E-3</v>
      </c>
      <c r="AK77">
        <f t="shared" si="31"/>
        <v>2.0456234613166198E-3</v>
      </c>
      <c r="AM77">
        <f t="shared" si="31"/>
        <v>1.8072993185306908E-3</v>
      </c>
      <c r="AU77">
        <f t="shared" si="31"/>
        <v>0.50562581629993031</v>
      </c>
      <c r="AV77">
        <f t="shared" si="31"/>
        <v>5.6126522306472963E-2</v>
      </c>
      <c r="AW77">
        <f t="shared" si="31"/>
        <v>2.8651229898042749E-4</v>
      </c>
      <c r="AZ77">
        <f>AVERAGE(BA24:BA34)</f>
        <v>0.3044640337840463</v>
      </c>
      <c r="BA77">
        <f>AVERAGE(BB24:BB34)</f>
        <v>0.31798268518535805</v>
      </c>
    </row>
    <row r="78" spans="1:56" x14ac:dyDescent="0.3">
      <c r="A78" s="1" t="s">
        <v>108</v>
      </c>
      <c r="B78" t="s">
        <v>67</v>
      </c>
      <c r="C78">
        <f t="shared" ref="C78:AD78" si="32">_xlfn.STDEV.P(C24:C34)</f>
        <v>7.0133392471646001</v>
      </c>
      <c r="D78">
        <f t="shared" si="32"/>
        <v>7.1270697824017395</v>
      </c>
      <c r="E78">
        <f t="shared" si="32"/>
        <v>0.42718382023178431</v>
      </c>
      <c r="F78">
        <f t="shared" si="32"/>
        <v>110.0383967513802</v>
      </c>
      <c r="H78">
        <f t="shared" si="32"/>
        <v>269.77741051707579</v>
      </c>
      <c r="I78">
        <f t="shared" si="32"/>
        <v>249.65083977807399</v>
      </c>
      <c r="J78">
        <f t="shared" si="32"/>
        <v>0</v>
      </c>
      <c r="K78">
        <f t="shared" si="32"/>
        <v>1.3801798516612969E-3</v>
      </c>
      <c r="L78">
        <f t="shared" si="32"/>
        <v>6.1316492131714842E-3</v>
      </c>
      <c r="M78">
        <f t="shared" si="32"/>
        <v>8.3672896744258398E-3</v>
      </c>
      <c r="N78">
        <f t="shared" si="32"/>
        <v>0.26462306279911069</v>
      </c>
      <c r="O78">
        <f t="shared" si="32"/>
        <v>0.30595796736205821</v>
      </c>
      <c r="Q78">
        <f t="shared" si="32"/>
        <v>4.0647572877101287E-3</v>
      </c>
      <c r="R78">
        <f t="shared" si="32"/>
        <v>2.7003359532237685E-3</v>
      </c>
      <c r="S78">
        <f t="shared" si="32"/>
        <v>4.5264273683715576E-3</v>
      </c>
      <c r="T78">
        <f t="shared" si="32"/>
        <v>0.11912458655606846</v>
      </c>
      <c r="U78">
        <f t="shared" si="32"/>
        <v>0.1157796307622842</v>
      </c>
      <c r="X78">
        <f t="shared" si="32"/>
        <v>2.1727268798354782E-3</v>
      </c>
      <c r="Y78">
        <f t="shared" si="32"/>
        <v>0.1784726594731007</v>
      </c>
      <c r="Z78">
        <f t="shared" si="32"/>
        <v>0.14706721023761485</v>
      </c>
      <c r="AD78">
        <f t="shared" si="32"/>
        <v>0</v>
      </c>
      <c r="AG78">
        <f t="shared" ref="AG78:AW78" si="33">_xlfn.STDEV.P(AH24:AH34)</f>
        <v>3.2478805514175201E-4</v>
      </c>
      <c r="AH78">
        <f t="shared" si="33"/>
        <v>1.3544760833772164E-3</v>
      </c>
      <c r="AI78">
        <f t="shared" si="33"/>
        <v>1.5278643604791996E-4</v>
      </c>
      <c r="AJ78">
        <f t="shared" si="33"/>
        <v>5.6202277875565709E-4</v>
      </c>
      <c r="AK78">
        <f t="shared" si="33"/>
        <v>3.4041071051920952E-4</v>
      </c>
      <c r="AM78">
        <f t="shared" si="33"/>
        <v>1.2123030025424576E-4</v>
      </c>
      <c r="AU78">
        <f t="shared" si="33"/>
        <v>0.32520308151791566</v>
      </c>
      <c r="AV78">
        <f t="shared" si="33"/>
        <v>5.9444276782280099E-2</v>
      </c>
      <c r="AW78">
        <f t="shared" si="33"/>
        <v>0</v>
      </c>
      <c r="AZ78">
        <f>_xlfn.STDEV.P(BA24:BA34)</f>
        <v>6.0954833074247034E-3</v>
      </c>
      <c r="BA78">
        <f>_xlfn.STDEV.P(BB24:BB34)</f>
        <v>6.3780842293810836E-3</v>
      </c>
    </row>
    <row r="79" spans="1:56" x14ac:dyDescent="0.3">
      <c r="A79" s="1" t="s">
        <v>108</v>
      </c>
      <c r="B79" t="s">
        <v>68</v>
      </c>
      <c r="C79" s="19">
        <f>C78/C77</f>
        <v>2.8035617813245994E-2</v>
      </c>
      <c r="D79" s="19">
        <f t="shared" ref="D79:BA79" si="34">D78/D77</f>
        <v>2.860575624872613E-2</v>
      </c>
      <c r="E79" s="19">
        <f t="shared" si="34"/>
        <v>4.0618623748182349E-2</v>
      </c>
      <c r="F79" s="19">
        <f t="shared" si="34"/>
        <v>1.6454451900213003E-2</v>
      </c>
      <c r="G79" s="19"/>
      <c r="H79" s="19">
        <f t="shared" si="34"/>
        <v>1.8626267638020732E-2</v>
      </c>
      <c r="I79" s="19">
        <f t="shared" si="34"/>
        <v>1.7801652974448575E-2</v>
      </c>
      <c r="J79" s="19"/>
      <c r="K79" s="19">
        <f t="shared" si="34"/>
        <v>6.0224929012782751E-2</v>
      </c>
      <c r="L79" s="19">
        <f t="shared" si="34"/>
        <v>9.9986112410845762E-2</v>
      </c>
      <c r="M79" s="19">
        <f t="shared" si="34"/>
        <v>1.6363542100752724E-2</v>
      </c>
      <c r="N79" s="19">
        <f t="shared" si="34"/>
        <v>2.119762934939955E-2</v>
      </c>
      <c r="O79" s="19">
        <f t="shared" si="34"/>
        <v>2.3946010877408497E-2</v>
      </c>
      <c r="P79" s="19"/>
      <c r="Q79" s="19">
        <f t="shared" si="34"/>
        <v>3.9274357747641091E-2</v>
      </c>
      <c r="R79" s="19">
        <f t="shared" si="34"/>
        <v>3.2130315135110769E-2</v>
      </c>
      <c r="S79" s="19">
        <f t="shared" si="34"/>
        <v>5.5307541090126262E-2</v>
      </c>
      <c r="T79" s="19">
        <f t="shared" si="34"/>
        <v>1.9295848531492358E-2</v>
      </c>
      <c r="U79" s="19">
        <f t="shared" si="34"/>
        <v>1.7929522753935574E-2</v>
      </c>
      <c r="V79" s="19"/>
      <c r="W79" s="19"/>
      <c r="X79" s="19">
        <f t="shared" si="34"/>
        <v>0.10976443740840817</v>
      </c>
      <c r="Y79" s="19">
        <f t="shared" si="34"/>
        <v>2.1235877483677616E-2</v>
      </c>
      <c r="Z79" s="19">
        <f t="shared" si="34"/>
        <v>0.52215677617378053</v>
      </c>
      <c r="AA79" s="19"/>
      <c r="AB79" s="19"/>
      <c r="AC79" s="19"/>
      <c r="AD79" s="19"/>
      <c r="AE79" s="19"/>
      <c r="AF79" s="19"/>
      <c r="AG79" s="19">
        <f t="shared" si="34"/>
        <v>2.4594795106254428E-2</v>
      </c>
      <c r="AH79" s="19">
        <f t="shared" si="34"/>
        <v>3.6717696657598109E-2</v>
      </c>
      <c r="AI79" s="19">
        <f t="shared" si="34"/>
        <v>5.4588279478314988E-2</v>
      </c>
      <c r="AJ79" s="19">
        <f t="shared" si="34"/>
        <v>5.8396116407793984E-2</v>
      </c>
      <c r="AK79" s="19">
        <f t="shared" si="34"/>
        <v>0.16640927177287643</v>
      </c>
      <c r="AL79" s="19"/>
      <c r="AM79" s="19">
        <f t="shared" si="34"/>
        <v>6.7078153027139029E-2</v>
      </c>
      <c r="AN79" s="19"/>
      <c r="AO79" s="19"/>
      <c r="AP79" s="19"/>
      <c r="AQ79" s="19"/>
      <c r="AR79" s="19"/>
      <c r="AS79" s="19"/>
      <c r="AT79" s="19"/>
      <c r="AU79" s="19">
        <f t="shared" si="34"/>
        <v>0.64316945661059688</v>
      </c>
      <c r="AV79" s="19">
        <f t="shared" si="34"/>
        <v>1.0591120621671675</v>
      </c>
      <c r="AW79" s="19"/>
      <c r="AX79" s="19"/>
      <c r="AY79" s="19"/>
      <c r="AZ79" s="19">
        <f t="shared" si="34"/>
        <v>2.002037229707131E-2</v>
      </c>
      <c r="BA79" s="19">
        <f t="shared" si="34"/>
        <v>2.0057960783818083E-2</v>
      </c>
      <c r="BB79" s="19"/>
      <c r="BC79" s="19"/>
      <c r="BD79" s="19"/>
    </row>
    <row r="80" spans="1:56" x14ac:dyDescent="0.3">
      <c r="A80" s="1" t="s">
        <v>108</v>
      </c>
      <c r="B80" t="s">
        <v>102</v>
      </c>
      <c r="C80">
        <f>COUNT(C24:C34)</f>
        <v>11</v>
      </c>
      <c r="D80">
        <f t="shared" ref="D80:AE80" si="35">COUNT(D24:D34)</f>
        <v>11</v>
      </c>
      <c r="E80">
        <f t="shared" si="35"/>
        <v>11</v>
      </c>
      <c r="F80">
        <f t="shared" si="35"/>
        <v>11</v>
      </c>
      <c r="G80">
        <f t="shared" si="35"/>
        <v>0</v>
      </c>
      <c r="H80">
        <f t="shared" si="35"/>
        <v>11</v>
      </c>
      <c r="I80">
        <f t="shared" si="35"/>
        <v>11</v>
      </c>
      <c r="J80">
        <f t="shared" si="35"/>
        <v>1</v>
      </c>
      <c r="K80">
        <f t="shared" si="35"/>
        <v>11</v>
      </c>
      <c r="L80">
        <f t="shared" si="35"/>
        <v>11</v>
      </c>
      <c r="M80">
        <f t="shared" si="35"/>
        <v>11</v>
      </c>
      <c r="N80">
        <f t="shared" si="35"/>
        <v>11</v>
      </c>
      <c r="O80">
        <f t="shared" si="35"/>
        <v>11</v>
      </c>
      <c r="P80">
        <f t="shared" si="35"/>
        <v>0</v>
      </c>
      <c r="Q80">
        <f t="shared" si="35"/>
        <v>11</v>
      </c>
      <c r="R80">
        <f t="shared" si="35"/>
        <v>11</v>
      </c>
      <c r="S80">
        <f t="shared" si="35"/>
        <v>11</v>
      </c>
      <c r="T80">
        <f t="shared" si="35"/>
        <v>11</v>
      </c>
      <c r="U80">
        <f t="shared" si="35"/>
        <v>11</v>
      </c>
      <c r="V80">
        <f t="shared" si="35"/>
        <v>0</v>
      </c>
      <c r="W80">
        <f t="shared" si="35"/>
        <v>0</v>
      </c>
      <c r="X80">
        <f t="shared" si="35"/>
        <v>11</v>
      </c>
      <c r="Y80">
        <f t="shared" si="35"/>
        <v>11</v>
      </c>
      <c r="Z80">
        <f t="shared" si="35"/>
        <v>8</v>
      </c>
      <c r="AA80">
        <f t="shared" si="35"/>
        <v>0</v>
      </c>
      <c r="AB80">
        <f t="shared" si="35"/>
        <v>0</v>
      </c>
      <c r="AC80">
        <f t="shared" si="35"/>
        <v>0</v>
      </c>
      <c r="AD80">
        <f t="shared" si="35"/>
        <v>1</v>
      </c>
      <c r="AE80">
        <f t="shared" si="35"/>
        <v>0</v>
      </c>
      <c r="AF80">
        <f t="shared" ref="AF80:BD80" si="36">COUNT(AG24:AG34)</f>
        <v>11</v>
      </c>
      <c r="AG80">
        <f t="shared" si="36"/>
        <v>11</v>
      </c>
      <c r="AH80">
        <f t="shared" si="36"/>
        <v>11</v>
      </c>
      <c r="AI80">
        <f t="shared" si="36"/>
        <v>11</v>
      </c>
      <c r="AJ80">
        <f t="shared" si="36"/>
        <v>11</v>
      </c>
      <c r="AK80">
        <f t="shared" si="36"/>
        <v>11</v>
      </c>
      <c r="AL80">
        <f t="shared" si="36"/>
        <v>0</v>
      </c>
      <c r="AM80">
        <f t="shared" si="36"/>
        <v>10</v>
      </c>
      <c r="AN80">
        <f t="shared" si="36"/>
        <v>0</v>
      </c>
      <c r="AO80">
        <f t="shared" si="36"/>
        <v>0</v>
      </c>
      <c r="AP80">
        <f t="shared" si="36"/>
        <v>0</v>
      </c>
      <c r="AQ80">
        <f t="shared" si="36"/>
        <v>0</v>
      </c>
      <c r="AR80">
        <f t="shared" si="36"/>
        <v>0</v>
      </c>
      <c r="AS80">
        <f t="shared" si="36"/>
        <v>0</v>
      </c>
      <c r="AT80">
        <f t="shared" si="36"/>
        <v>0</v>
      </c>
      <c r="AU80">
        <f t="shared" si="36"/>
        <v>2</v>
      </c>
      <c r="AV80">
        <f t="shared" si="36"/>
        <v>11</v>
      </c>
      <c r="AW80">
        <f t="shared" si="36"/>
        <v>1</v>
      </c>
      <c r="AX80">
        <f t="shared" si="36"/>
        <v>0</v>
      </c>
      <c r="AY80">
        <f t="shared" si="36"/>
        <v>11</v>
      </c>
      <c r="AZ80">
        <f t="shared" si="36"/>
        <v>11</v>
      </c>
      <c r="BA80">
        <f t="shared" si="36"/>
        <v>11</v>
      </c>
      <c r="BB80">
        <f t="shared" si="36"/>
        <v>0</v>
      </c>
      <c r="BC80">
        <f t="shared" si="36"/>
        <v>0</v>
      </c>
      <c r="BD80">
        <f t="shared" si="36"/>
        <v>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7039-255E-48A1-9575-A5607618822D}">
  <sheetPr codeName="Sheet23"/>
  <dimension ref="A1:BD447"/>
  <sheetViews>
    <sheetView tabSelected="1" zoomScale="60" zoomScaleNormal="60" workbookViewId="0">
      <pane xSplit="2" ySplit="2" topLeftCell="C252" activePane="bottomRight" state="frozen"/>
      <selection pane="topRight" activeCell="C1" sqref="C1"/>
      <selection pane="bottomLeft" activeCell="A14" sqref="A14"/>
      <selection pane="bottomRight" activeCell="B15" sqref="B15"/>
    </sheetView>
  </sheetViews>
  <sheetFormatPr defaultColWidth="10.77734375" defaultRowHeight="14.4" x14ac:dyDescent="0.3"/>
  <cols>
    <col min="1" max="1" width="29.5546875" customWidth="1"/>
    <col min="2" max="2" width="29.6640625" customWidth="1"/>
    <col min="3" max="3" width="13.88671875" customWidth="1"/>
    <col min="4" max="4" width="16.88671875" style="3" customWidth="1"/>
    <col min="5" max="5" width="12.21875" customWidth="1"/>
    <col min="6" max="6" width="15" customWidth="1"/>
    <col min="7" max="7" width="11.33203125" customWidth="1"/>
    <col min="8" max="8" width="18" customWidth="1"/>
    <col min="9" max="9" width="18" style="3" customWidth="1"/>
    <col min="10" max="10" width="10.88671875" customWidth="1"/>
    <col min="11" max="11" width="13.21875" style="3" customWidth="1"/>
    <col min="12" max="12" width="13.5546875" style="3" customWidth="1"/>
    <col min="13" max="13" width="15" style="3" customWidth="1"/>
    <col min="14" max="14" width="16.6640625" style="3" customWidth="1"/>
    <col min="15" max="15" width="16.6640625" customWidth="1"/>
    <col min="16" max="16" width="11.77734375" customWidth="1"/>
    <col min="17" max="17" width="13.5546875" style="3" customWidth="1"/>
    <col min="18" max="18" width="14" style="3" customWidth="1"/>
    <col min="19" max="19" width="14.109375" customWidth="1"/>
    <col min="20" max="20" width="14" style="3" customWidth="1"/>
    <col min="21" max="21" width="14" customWidth="1"/>
    <col min="22" max="22" width="11.6640625" customWidth="1"/>
    <col min="23" max="24" width="11.77734375" customWidth="1"/>
    <col min="25" max="25" width="15" style="3" customWidth="1"/>
    <col min="26" max="26" width="10.88671875" customWidth="1"/>
    <col min="27" max="27" width="12.109375" customWidth="1"/>
    <col min="28" max="28" width="10.88671875" customWidth="1"/>
    <col min="29" max="29" width="11.77734375" customWidth="1"/>
    <col min="30" max="31" width="12.21875" customWidth="1"/>
    <col min="32" max="32" width="12.44140625" customWidth="1"/>
    <col min="33" max="33" width="14.5546875" style="3" customWidth="1"/>
    <col min="34" max="47" width="10.88671875" style="3" customWidth="1"/>
    <col min="48" max="50" width="10.88671875" customWidth="1"/>
    <col min="51" max="51" width="10.77734375" customWidth="1"/>
    <col min="52" max="52" width="13.21875" customWidth="1"/>
    <col min="53" max="53" width="14.109375" customWidth="1"/>
    <col min="54" max="54" width="15" style="3" customWidth="1"/>
    <col min="55" max="55" width="10.88671875" style="3" customWidth="1"/>
    <col min="56" max="56" width="15.33203125" style="3" customWidth="1"/>
  </cols>
  <sheetData>
    <row r="1" spans="1:56" x14ac:dyDescent="0.3">
      <c r="C1" s="3" t="s">
        <v>524</v>
      </c>
    </row>
    <row r="2" spans="1:56" s="9" customFormat="1" ht="28.8" x14ac:dyDescent="0.3">
      <c r="A2" s="4" t="s">
        <v>111</v>
      </c>
      <c r="B2" s="4" t="s">
        <v>112</v>
      </c>
      <c r="C2" s="5" t="s">
        <v>0</v>
      </c>
      <c r="D2" s="6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6" t="s">
        <v>6</v>
      </c>
      <c r="J2" s="5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5" t="s">
        <v>12</v>
      </c>
      <c r="P2" s="5" t="s">
        <v>13</v>
      </c>
      <c r="Q2" s="6" t="s">
        <v>14</v>
      </c>
      <c r="R2" s="6" t="s">
        <v>15</v>
      </c>
      <c r="S2" s="5" t="s">
        <v>16</v>
      </c>
      <c r="T2" s="6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6" t="s">
        <v>22</v>
      </c>
      <c r="Z2" s="5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7" t="s">
        <v>30</v>
      </c>
      <c r="AH2" s="7" t="s">
        <v>31</v>
      </c>
      <c r="AI2" s="7" t="s">
        <v>32</v>
      </c>
      <c r="AJ2" s="7" t="s">
        <v>33</v>
      </c>
      <c r="AK2" s="7" t="s">
        <v>34</v>
      </c>
      <c r="AL2" s="7" t="s">
        <v>35</v>
      </c>
      <c r="AM2" s="7" t="s">
        <v>36</v>
      </c>
      <c r="AN2" s="7" t="s">
        <v>37</v>
      </c>
      <c r="AO2" s="7" t="s">
        <v>38</v>
      </c>
      <c r="AP2" s="7" t="s">
        <v>39</v>
      </c>
      <c r="AQ2" s="7" t="s">
        <v>40</v>
      </c>
      <c r="AR2" s="7" t="s">
        <v>41</v>
      </c>
      <c r="AS2" s="7" t="s">
        <v>42</v>
      </c>
      <c r="AT2" s="7" t="s">
        <v>43</v>
      </c>
      <c r="AU2" s="7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7" t="s">
        <v>51</v>
      </c>
      <c r="BC2" s="7" t="s">
        <v>52</v>
      </c>
      <c r="BD2" s="7" t="s">
        <v>53</v>
      </c>
    </row>
    <row r="3" spans="1:56" x14ac:dyDescent="0.3">
      <c r="A3" t="s">
        <v>113</v>
      </c>
      <c r="B3" t="s">
        <v>62</v>
      </c>
      <c r="C3" s="10">
        <v>5614.0947812280765</v>
      </c>
      <c r="D3" s="11">
        <v>3898.5209367364796</v>
      </c>
      <c r="E3" s="10">
        <v>16.154097397654283</v>
      </c>
      <c r="F3" s="10">
        <v>138087.63630939001</v>
      </c>
      <c r="G3" s="10">
        <v>168.44149635808182</v>
      </c>
      <c r="H3" s="10">
        <v>303792.2711963926</v>
      </c>
      <c r="I3" s="11">
        <v>295207.52288194181</v>
      </c>
      <c r="J3" s="10">
        <v>2.8931988156064339</v>
      </c>
      <c r="K3" s="11">
        <v>1.5972358734037087</v>
      </c>
      <c r="L3" s="11">
        <v>1.9949431723788611</v>
      </c>
      <c r="M3" s="11">
        <v>26.727006104243426</v>
      </c>
      <c r="N3" s="11">
        <v>17.972277184489059</v>
      </c>
      <c r="O3" s="10">
        <v>30.146736949006591</v>
      </c>
      <c r="P3" s="10">
        <v>0.11866100430875788</v>
      </c>
      <c r="Q3" s="11">
        <v>0.54510228739140942</v>
      </c>
      <c r="R3" s="11">
        <v>3.0885651231629967</v>
      </c>
      <c r="S3" s="10">
        <v>3.1261593146691378</v>
      </c>
      <c r="T3" s="11">
        <v>78.850552206012665</v>
      </c>
      <c r="U3" s="10">
        <v>75.032817191996728</v>
      </c>
      <c r="V3" s="10" t="s">
        <v>114</v>
      </c>
      <c r="W3" s="10" t="s">
        <v>114</v>
      </c>
      <c r="X3" s="10" t="s">
        <v>114</v>
      </c>
      <c r="Y3" s="11">
        <v>462.62120404678154</v>
      </c>
      <c r="Z3" s="10">
        <v>0.77562558232265399</v>
      </c>
      <c r="AA3" s="10">
        <v>1.134865284586956</v>
      </c>
      <c r="AB3" s="10">
        <v>1.079151803200979</v>
      </c>
      <c r="AC3" s="10">
        <v>3.0101802603486428E-2</v>
      </c>
      <c r="AD3" s="10">
        <v>0.32027626714395629</v>
      </c>
      <c r="AE3" s="10">
        <v>4.4536035176153288E-2</v>
      </c>
      <c r="AF3" s="10">
        <v>2.926452499727041E-3</v>
      </c>
      <c r="AG3" s="11">
        <v>11.232201556434891</v>
      </c>
      <c r="AH3" s="11">
        <v>6.4937860429485544E-2</v>
      </c>
      <c r="AI3" s="11">
        <v>0.16762739670730736</v>
      </c>
      <c r="AJ3" s="11">
        <v>1.1177978528120136E-2</v>
      </c>
      <c r="AK3" s="11">
        <v>6.7918462005425728E-2</v>
      </c>
      <c r="AL3" s="11">
        <v>1.5130677357461686E-2</v>
      </c>
      <c r="AM3" s="11">
        <v>4.5631501459468113E-3</v>
      </c>
      <c r="AN3" s="11">
        <v>1.40759091542657E-2</v>
      </c>
      <c r="AO3" s="11">
        <v>4.3894443486579204E-3</v>
      </c>
      <c r="AP3" s="11" t="s">
        <v>114</v>
      </c>
      <c r="AQ3" s="11" t="s">
        <v>114</v>
      </c>
      <c r="AR3" s="11" t="s">
        <v>114</v>
      </c>
      <c r="AS3" s="11" t="s">
        <v>114</v>
      </c>
      <c r="AT3" s="11" t="s">
        <v>114</v>
      </c>
      <c r="AU3" s="11" t="s">
        <v>114</v>
      </c>
      <c r="AV3" s="10">
        <v>0.71279965721990479</v>
      </c>
      <c r="AW3" s="10">
        <v>4.3518451103340876</v>
      </c>
      <c r="AX3" s="10">
        <v>2.4391516221500587E-2</v>
      </c>
      <c r="AY3" s="10">
        <v>1.3808354473661535E-2</v>
      </c>
      <c r="AZ3" s="10">
        <v>1.0860571776304413</v>
      </c>
      <c r="BA3" s="10">
        <v>0.94733541175285219</v>
      </c>
      <c r="BB3" s="11">
        <v>0.99984883985952089</v>
      </c>
      <c r="BC3" s="11">
        <v>0.47380459799719066</v>
      </c>
      <c r="BD3" s="11">
        <v>1.0975867981081699</v>
      </c>
    </row>
    <row r="4" spans="1:56" x14ac:dyDescent="0.3">
      <c r="A4" t="s">
        <v>115</v>
      </c>
      <c r="B4" t="s">
        <v>62</v>
      </c>
      <c r="C4" s="10">
        <v>6248.9290043255751</v>
      </c>
      <c r="D4" s="11">
        <v>2072.6040805742464</v>
      </c>
      <c r="E4" s="10">
        <v>16.307215149850897</v>
      </c>
      <c r="F4" s="10">
        <v>163899.14484238491</v>
      </c>
      <c r="G4" s="10">
        <v>161.90525450492052</v>
      </c>
      <c r="H4" s="10">
        <v>355242.03202288231</v>
      </c>
      <c r="I4" s="11">
        <v>339733.1389404558</v>
      </c>
      <c r="J4" s="10" t="s">
        <v>114</v>
      </c>
      <c r="K4" s="11">
        <v>0.1355616852924845</v>
      </c>
      <c r="L4" s="11" t="s">
        <v>114</v>
      </c>
      <c r="M4" s="11">
        <v>20.118512472220512</v>
      </c>
      <c r="N4" s="11">
        <v>12.79317576016466</v>
      </c>
      <c r="O4" s="10">
        <v>24.463764696387994</v>
      </c>
      <c r="P4" s="10">
        <v>6.911761554281054E-2</v>
      </c>
      <c r="Q4" s="11">
        <v>0.65608567203679302</v>
      </c>
      <c r="R4" s="11">
        <v>0.37641153909768488</v>
      </c>
      <c r="S4" s="10">
        <v>0.42721889444626093</v>
      </c>
      <c r="T4" s="11">
        <v>189.75962046271775</v>
      </c>
      <c r="U4" s="10">
        <v>181.80645753563161</v>
      </c>
      <c r="V4" s="10" t="s">
        <v>114</v>
      </c>
      <c r="W4" s="10" t="s">
        <v>114</v>
      </c>
      <c r="X4" s="10" t="s">
        <v>114</v>
      </c>
      <c r="Y4" s="11">
        <v>145.0171065311051</v>
      </c>
      <c r="Z4" s="10">
        <v>0.2988131650138614</v>
      </c>
      <c r="AA4" s="10">
        <v>0.72746482022013781</v>
      </c>
      <c r="AB4" s="10">
        <v>0.57922716786966055</v>
      </c>
      <c r="AC4" s="10">
        <v>3.6355727694759053E-2</v>
      </c>
      <c r="AD4" s="10" t="s">
        <v>114</v>
      </c>
      <c r="AE4" s="10" t="s">
        <v>114</v>
      </c>
      <c r="AF4" s="10">
        <v>2.7941229958385497E-3</v>
      </c>
      <c r="AG4" s="11">
        <v>4.6274485601003343</v>
      </c>
      <c r="AH4" s="11">
        <v>9.2653342609361894E-2</v>
      </c>
      <c r="AI4" s="11">
        <v>0.24189695252919047</v>
      </c>
      <c r="AJ4" s="11">
        <v>2.2916152426123711E-2</v>
      </c>
      <c r="AK4" s="11">
        <v>9.8041259034556405E-2</v>
      </c>
      <c r="AL4" s="11">
        <v>3.3656159406372711E-2</v>
      </c>
      <c r="AM4" s="11">
        <v>4.9630818895195026E-3</v>
      </c>
      <c r="AN4" s="11">
        <v>2.0306696799945855E-2</v>
      </c>
      <c r="AO4" s="11">
        <v>4.2821943408275559E-3</v>
      </c>
      <c r="AP4" s="11">
        <v>1.707019217729721E-2</v>
      </c>
      <c r="AQ4" s="11" t="s">
        <v>114</v>
      </c>
      <c r="AR4" s="11" t="s">
        <v>114</v>
      </c>
      <c r="AS4" s="11" t="s">
        <v>114</v>
      </c>
      <c r="AT4" s="11" t="s">
        <v>114</v>
      </c>
      <c r="AU4" s="11" t="s">
        <v>114</v>
      </c>
      <c r="AV4" s="10">
        <v>0.38953443743269872</v>
      </c>
      <c r="AW4" s="10">
        <v>3.4019508607286815</v>
      </c>
      <c r="AX4" s="10">
        <v>1.4633569143835571E-2</v>
      </c>
      <c r="AY4" s="10" t="s">
        <v>114</v>
      </c>
      <c r="AZ4" s="10">
        <v>1.4368342895421167</v>
      </c>
      <c r="BA4" s="10">
        <v>1.3073783529600085</v>
      </c>
      <c r="BB4" s="11">
        <v>1.3435685838513949</v>
      </c>
      <c r="BC4" s="11">
        <v>0.31521522456729067</v>
      </c>
      <c r="BD4" s="11">
        <v>9.1498673253039592E-2</v>
      </c>
    </row>
    <row r="5" spans="1:56" x14ac:dyDescent="0.3">
      <c r="A5" t="s">
        <v>116</v>
      </c>
      <c r="B5" t="s">
        <v>62</v>
      </c>
      <c r="C5" s="10">
        <v>5524.438184241335</v>
      </c>
      <c r="D5" s="11">
        <v>2797.0950668705373</v>
      </c>
      <c r="E5" s="10">
        <v>15.976893946706358</v>
      </c>
      <c r="F5" s="10">
        <v>157890.02489702683</v>
      </c>
      <c r="G5" s="10">
        <v>153.14423245045438</v>
      </c>
      <c r="H5" s="10">
        <v>340817.54722814215</v>
      </c>
      <c r="I5" s="11">
        <v>327642.53175515035</v>
      </c>
      <c r="J5" s="10" t="s">
        <v>114</v>
      </c>
      <c r="K5" s="11" t="s">
        <v>114</v>
      </c>
      <c r="L5" s="11" t="s">
        <v>114</v>
      </c>
      <c r="M5" s="11">
        <v>4.363626234849157</v>
      </c>
      <c r="N5" s="11">
        <v>23.959092026522768</v>
      </c>
      <c r="O5" s="10">
        <v>34.936045907153307</v>
      </c>
      <c r="P5" s="10">
        <v>0.10974164671530508</v>
      </c>
      <c r="Q5" s="11">
        <v>19.175375862497642</v>
      </c>
      <c r="R5" s="11">
        <v>0.40907808512816501</v>
      </c>
      <c r="S5" s="10">
        <v>0.28327191123742557</v>
      </c>
      <c r="T5" s="11">
        <v>327.86939285110526</v>
      </c>
      <c r="U5" s="10">
        <v>313.41947655828608</v>
      </c>
      <c r="V5" s="10" t="s">
        <v>114</v>
      </c>
      <c r="W5" s="10" t="s">
        <v>114</v>
      </c>
      <c r="X5" s="10" t="s">
        <v>114</v>
      </c>
      <c r="Y5" s="11">
        <v>168.71294657394569</v>
      </c>
      <c r="Z5" s="10">
        <v>0.21860250587424582</v>
      </c>
      <c r="AA5" s="10">
        <v>0.58311440738309805</v>
      </c>
      <c r="AB5" s="10">
        <v>0.50245749442078302</v>
      </c>
      <c r="AC5" s="10" t="s">
        <v>114</v>
      </c>
      <c r="AD5" s="10" t="s">
        <v>114</v>
      </c>
      <c r="AE5" s="10" t="s">
        <v>114</v>
      </c>
      <c r="AF5" s="10">
        <v>4.4621488501433507E-3</v>
      </c>
      <c r="AG5" s="11">
        <v>1.3854861492439146</v>
      </c>
      <c r="AH5" s="11">
        <v>9.6190633471828255E-2</v>
      </c>
      <c r="AI5" s="11">
        <v>0.22280433509275016</v>
      </c>
      <c r="AJ5" s="11">
        <v>2.1593526952259051E-2</v>
      </c>
      <c r="AK5" s="11">
        <v>9.9526017915161288E-2</v>
      </c>
      <c r="AL5" s="11">
        <v>1.4219588246429743E-2</v>
      </c>
      <c r="AM5" s="11">
        <v>5.8901528304050434E-3</v>
      </c>
      <c r="AN5" s="11">
        <v>2.3852760060285305E-2</v>
      </c>
      <c r="AO5" s="11">
        <v>5.1030406825740629E-3</v>
      </c>
      <c r="AP5" s="11">
        <v>1.7324334026098946E-2</v>
      </c>
      <c r="AQ5" s="11" t="s">
        <v>114</v>
      </c>
      <c r="AR5" s="11" t="s">
        <v>114</v>
      </c>
      <c r="AS5" s="11" t="s">
        <v>114</v>
      </c>
      <c r="AT5" s="11" t="s">
        <v>114</v>
      </c>
      <c r="AU5" s="11" t="s">
        <v>114</v>
      </c>
      <c r="AV5" s="10">
        <v>0.35352212959217261</v>
      </c>
      <c r="AW5" s="10">
        <v>2.9705221656491325</v>
      </c>
      <c r="AX5" s="10">
        <v>2.5095401579675277E-3</v>
      </c>
      <c r="AY5" s="10" t="s">
        <v>114</v>
      </c>
      <c r="AZ5" s="10">
        <v>1.7464890480340365</v>
      </c>
      <c r="BA5" s="10">
        <v>1.6144423426032428</v>
      </c>
      <c r="BB5" s="11">
        <v>1.6779692275580869</v>
      </c>
      <c r="BC5" s="11">
        <v>0.25225881670255412</v>
      </c>
      <c r="BD5" s="11">
        <v>6.7608758831215657E-2</v>
      </c>
    </row>
    <row r="6" spans="1:56" x14ac:dyDescent="0.3">
      <c r="A6" t="s">
        <v>117</v>
      </c>
      <c r="B6" t="s">
        <v>62</v>
      </c>
      <c r="C6" s="10">
        <v>4802.825499448214</v>
      </c>
      <c r="D6" s="11">
        <v>1474.4318154114339</v>
      </c>
      <c r="E6" s="10">
        <v>267.64643391006774</v>
      </c>
      <c r="F6" s="10">
        <v>162438.51749683145</v>
      </c>
      <c r="G6" s="10">
        <v>452.89816826701315</v>
      </c>
      <c r="H6" s="10">
        <v>391614.3347672071</v>
      </c>
      <c r="I6" s="11">
        <v>384787.92000901274</v>
      </c>
      <c r="J6" s="10">
        <v>7.0763601829897897</v>
      </c>
      <c r="K6" s="11">
        <v>21.50152643051776</v>
      </c>
      <c r="L6" s="11">
        <v>3.1499304678343436</v>
      </c>
      <c r="M6" s="11">
        <v>911.09634338211492</v>
      </c>
      <c r="N6" s="11">
        <v>3910.8231785201497</v>
      </c>
      <c r="O6" s="10">
        <v>3898.8730676966056</v>
      </c>
      <c r="P6" s="10">
        <v>1.5379740478601491</v>
      </c>
      <c r="Q6" s="11">
        <v>13.525849491264927</v>
      </c>
      <c r="R6" s="11">
        <v>9.4188749588948042</v>
      </c>
      <c r="S6" s="10">
        <v>9.6468617162015082</v>
      </c>
      <c r="T6" s="11">
        <v>109.07159389575182</v>
      </c>
      <c r="U6" s="10">
        <v>107.21980419835324</v>
      </c>
      <c r="V6" s="10">
        <v>26.554496501781003</v>
      </c>
      <c r="W6" s="10" t="s">
        <v>114</v>
      </c>
      <c r="X6" s="10">
        <v>1.3117370616247548</v>
      </c>
      <c r="Y6" s="11">
        <v>1249.7467589361747</v>
      </c>
      <c r="Z6" s="10">
        <v>4.8488947166440139</v>
      </c>
      <c r="AA6" s="10">
        <v>0.64872330703720882</v>
      </c>
      <c r="AB6" s="10">
        <v>0.67717370278143496</v>
      </c>
      <c r="AC6" s="10">
        <v>8.9658489165326066E-2</v>
      </c>
      <c r="AD6" s="10" t="s">
        <v>114</v>
      </c>
      <c r="AE6" s="10">
        <v>0.67553380450607703</v>
      </c>
      <c r="AF6" s="10">
        <v>2.2157843702398251E-2</v>
      </c>
      <c r="AG6" s="11">
        <v>46.183164174777168</v>
      </c>
      <c r="AH6" s="11">
        <v>0.53360889451998239</v>
      </c>
      <c r="AI6" s="11">
        <v>1.2919694591225364</v>
      </c>
      <c r="AJ6" s="11">
        <v>0.10872652405261643</v>
      </c>
      <c r="AK6" s="11">
        <v>0.46401206153783731</v>
      </c>
      <c r="AL6" s="11">
        <v>0.12990658560021609</v>
      </c>
      <c r="AM6" s="11">
        <v>3.004620853964823E-2</v>
      </c>
      <c r="AN6" s="11">
        <v>0.13477250991524531</v>
      </c>
      <c r="AO6" s="11">
        <v>1.9409432323860352E-2</v>
      </c>
      <c r="AP6" s="11">
        <v>0.14642646964756645</v>
      </c>
      <c r="AQ6" s="11">
        <v>3.9491249635844945E-2</v>
      </c>
      <c r="AR6" s="11">
        <v>0.11787196720878215</v>
      </c>
      <c r="AS6" s="11">
        <v>1.8740998448188811E-2</v>
      </c>
      <c r="AT6" s="11">
        <v>0.13060353522233223</v>
      </c>
      <c r="AU6" s="11">
        <v>2.1713793709780171E-2</v>
      </c>
      <c r="AV6" s="10">
        <v>0.70910703956551957</v>
      </c>
      <c r="AW6" s="10">
        <v>0.39799335962729615</v>
      </c>
      <c r="AX6" s="10" t="s">
        <v>114</v>
      </c>
      <c r="AY6" s="10">
        <v>6.0805932488587219E-2</v>
      </c>
      <c r="AZ6" s="10">
        <v>62.593811893311006</v>
      </c>
      <c r="BA6" s="10">
        <v>56.864954343812045</v>
      </c>
      <c r="BB6" s="11">
        <v>58.835204976066464</v>
      </c>
      <c r="BC6" s="11">
        <v>0.21271495867605203</v>
      </c>
      <c r="BD6" s="11">
        <v>19.694965228417121</v>
      </c>
    </row>
    <row r="7" spans="1:56" x14ac:dyDescent="0.3">
      <c r="A7" t="s">
        <v>118</v>
      </c>
      <c r="B7" t="s">
        <v>62</v>
      </c>
      <c r="C7" s="10">
        <v>5264.0343506893805</v>
      </c>
      <c r="D7" s="11">
        <v>1887.1218328375553</v>
      </c>
      <c r="E7" s="10">
        <v>46.319826948941561</v>
      </c>
      <c r="F7" s="10">
        <v>139082.79793213648</v>
      </c>
      <c r="G7" s="10">
        <v>180.02169854219196</v>
      </c>
      <c r="H7" s="10">
        <v>306782.34089514089</v>
      </c>
      <c r="I7" s="11">
        <v>296740.3883244897</v>
      </c>
      <c r="J7" s="10">
        <v>47.706412409041896</v>
      </c>
      <c r="K7" s="11">
        <v>0.72773834865829778</v>
      </c>
      <c r="L7" s="11">
        <v>0.93363370621600184</v>
      </c>
      <c r="M7" s="11">
        <v>18.781569714580513</v>
      </c>
      <c r="N7" s="11">
        <v>108.04310389944769</v>
      </c>
      <c r="O7" s="10">
        <v>118.18162517526262</v>
      </c>
      <c r="P7" s="10">
        <v>0.28511773461616075</v>
      </c>
      <c r="Q7" s="11">
        <v>109.90787378194796</v>
      </c>
      <c r="R7" s="11">
        <v>2.0544734234078472</v>
      </c>
      <c r="S7" s="10">
        <v>2.0561282388248485</v>
      </c>
      <c r="T7" s="11">
        <v>164.33233602228253</v>
      </c>
      <c r="U7" s="10">
        <v>156.93769055848767</v>
      </c>
      <c r="V7" s="10">
        <v>1.8104331152272699</v>
      </c>
      <c r="W7" s="10" t="s">
        <v>114</v>
      </c>
      <c r="X7" s="10">
        <v>0.19532382044222582</v>
      </c>
      <c r="Y7" s="11">
        <v>224.01954989520112</v>
      </c>
      <c r="Z7" s="10">
        <v>0.61275629716300384</v>
      </c>
      <c r="AA7" s="10">
        <v>0.55260653408470639</v>
      </c>
      <c r="AB7" s="10">
        <v>0.51207599056165143</v>
      </c>
      <c r="AC7" s="10">
        <v>2.4928488253616422E-2</v>
      </c>
      <c r="AD7" s="10">
        <v>0.24597567792879832</v>
      </c>
      <c r="AE7" s="10">
        <v>8.8578162766018112E-2</v>
      </c>
      <c r="AF7" s="10">
        <v>3.8486065679482198E-3</v>
      </c>
      <c r="AG7" s="11">
        <v>10.064547591985555</v>
      </c>
      <c r="AH7" s="11">
        <v>0.14717635356234615</v>
      </c>
      <c r="AI7" s="11">
        <v>0.31617928950167284</v>
      </c>
      <c r="AJ7" s="11">
        <v>3.0602560033866435E-2</v>
      </c>
      <c r="AK7" s="11">
        <v>0.12869558709713158</v>
      </c>
      <c r="AL7" s="11">
        <v>3.377174460505411E-2</v>
      </c>
      <c r="AM7" s="11">
        <v>5.830032784266634E-3</v>
      </c>
      <c r="AN7" s="11">
        <v>3.9789969346146606E-2</v>
      </c>
      <c r="AO7" s="11">
        <v>4.2324401670064569E-3</v>
      </c>
      <c r="AP7" s="11">
        <v>2.7210482288784869E-2</v>
      </c>
      <c r="AQ7" s="11">
        <v>5.6444233233119805E-3</v>
      </c>
      <c r="AR7" s="11">
        <v>1.8263995326237105E-2</v>
      </c>
      <c r="AS7" s="11">
        <v>3.7685392906950436E-3</v>
      </c>
      <c r="AT7" s="11">
        <v>1.2798832268399753E-2</v>
      </c>
      <c r="AU7" s="11" t="s">
        <v>114</v>
      </c>
      <c r="AV7" s="10">
        <v>0.48624944078452037</v>
      </c>
      <c r="AW7" s="10">
        <v>2.732694452372721</v>
      </c>
      <c r="AX7" s="10" t="s">
        <v>114</v>
      </c>
      <c r="AY7" s="10">
        <v>4.8047243794144531E-2</v>
      </c>
      <c r="AZ7" s="10">
        <v>0.92617146839982345</v>
      </c>
      <c r="BA7" s="10">
        <v>0.81782899326322567</v>
      </c>
      <c r="BB7" s="11">
        <v>0.86757580805422019</v>
      </c>
      <c r="BC7" s="11">
        <v>0.25953389453753273</v>
      </c>
      <c r="BD7" s="11">
        <v>1.5593511212695568</v>
      </c>
    </row>
    <row r="8" spans="1:56" x14ac:dyDescent="0.3">
      <c r="A8" t="s">
        <v>119</v>
      </c>
      <c r="B8" t="s">
        <v>62</v>
      </c>
      <c r="C8" s="10">
        <v>6928.6086301272062</v>
      </c>
      <c r="D8" s="11">
        <v>2434.9779947752304</v>
      </c>
      <c r="E8" s="10">
        <v>174.19518746731507</v>
      </c>
      <c r="F8" s="10">
        <v>143802.21147008607</v>
      </c>
      <c r="G8" s="10">
        <v>86.58479309462723</v>
      </c>
      <c r="H8" s="10">
        <v>351429.50437464571</v>
      </c>
      <c r="I8" s="11">
        <v>346159.80163878226</v>
      </c>
      <c r="J8" s="10">
        <v>8.5951012635782842</v>
      </c>
      <c r="K8" s="11">
        <v>36.820269218545391</v>
      </c>
      <c r="L8" s="11">
        <v>19.85384354563487</v>
      </c>
      <c r="M8" s="11">
        <v>436.23021553069486</v>
      </c>
      <c r="N8" s="11">
        <v>7384.9326060832645</v>
      </c>
      <c r="O8" s="10">
        <v>7318.6427708779447</v>
      </c>
      <c r="P8" s="10">
        <v>3.271365307435715</v>
      </c>
      <c r="Q8" s="11">
        <v>17.168104959461594</v>
      </c>
      <c r="R8" s="11">
        <v>29.383857288092891</v>
      </c>
      <c r="S8" s="10">
        <v>29.50308113991321</v>
      </c>
      <c r="T8" s="11">
        <v>111.11437722516239</v>
      </c>
      <c r="U8" s="10">
        <v>109.61861668533808</v>
      </c>
      <c r="V8" s="10">
        <v>93.008703184025748</v>
      </c>
      <c r="W8" s="10" t="s">
        <v>114</v>
      </c>
      <c r="X8" s="10" t="s">
        <v>114</v>
      </c>
      <c r="Y8" s="11">
        <v>1205.9831468358216</v>
      </c>
      <c r="Z8" s="10">
        <v>6.8047397710132396</v>
      </c>
      <c r="AA8" s="10">
        <v>1.0054168939724748</v>
      </c>
      <c r="AB8" s="10">
        <v>1.0091377447161842</v>
      </c>
      <c r="AC8" s="10">
        <v>3.3673606028705054E-2</v>
      </c>
      <c r="AD8" s="10" t="s">
        <v>114</v>
      </c>
      <c r="AE8" s="10">
        <v>1.7584936714150328</v>
      </c>
      <c r="AF8" s="10">
        <v>3.3200180243412049E-3</v>
      </c>
      <c r="AG8" s="11">
        <v>75.16003706375632</v>
      </c>
      <c r="AH8" s="11">
        <v>0.34144396749388561</v>
      </c>
      <c r="AI8" s="11">
        <v>0.79821874487172584</v>
      </c>
      <c r="AJ8" s="11">
        <v>5.2360166692952848E-2</v>
      </c>
      <c r="AK8" s="11">
        <v>0.22514536329991985</v>
      </c>
      <c r="AL8" s="11">
        <v>5.5034960987912884E-2</v>
      </c>
      <c r="AM8" s="11">
        <v>1.5672669267595647E-2</v>
      </c>
      <c r="AN8" s="11">
        <v>7.2652491153069376E-2</v>
      </c>
      <c r="AO8" s="11">
        <v>1.5953598889541693E-2</v>
      </c>
      <c r="AP8" s="11">
        <v>0.11947021619084743</v>
      </c>
      <c r="AQ8" s="11">
        <v>3.1717766824092102E-2</v>
      </c>
      <c r="AR8" s="11">
        <v>0.11265025193200279</v>
      </c>
      <c r="AS8" s="11">
        <v>1.7171518930141835E-2</v>
      </c>
      <c r="AT8" s="11">
        <v>0.12544537508747461</v>
      </c>
      <c r="AU8" s="11">
        <v>2.0364573193943011E-2</v>
      </c>
      <c r="AV8" s="10">
        <v>0.68723208122210289</v>
      </c>
      <c r="AW8" s="10" t="s">
        <v>114</v>
      </c>
      <c r="AX8" s="10" t="s">
        <v>114</v>
      </c>
      <c r="AY8" s="10" t="s">
        <v>114</v>
      </c>
      <c r="AZ8" s="10">
        <v>6.9325067502275992</v>
      </c>
      <c r="BA8" s="10">
        <v>6.2433274411670903</v>
      </c>
      <c r="BB8" s="11">
        <v>6.5273067344845108</v>
      </c>
      <c r="BC8" s="11">
        <v>0.16625428023572203</v>
      </c>
      <c r="BD8" s="11">
        <v>31.823488422839144</v>
      </c>
    </row>
    <row r="9" spans="1:56" x14ac:dyDescent="0.3">
      <c r="A9" t="s">
        <v>120</v>
      </c>
      <c r="B9" t="s">
        <v>62</v>
      </c>
      <c r="C9" s="10">
        <v>5047.0639660971901</v>
      </c>
      <c r="D9" s="11">
        <v>2064.1545788300377</v>
      </c>
      <c r="E9" s="10">
        <v>106.98782719835191</v>
      </c>
      <c r="F9" s="10">
        <v>150764.85583475319</v>
      </c>
      <c r="G9" s="10" t="s">
        <v>114</v>
      </c>
      <c r="H9" s="10">
        <v>387761.40050795698</v>
      </c>
      <c r="I9" s="11">
        <v>381607.13071607437</v>
      </c>
      <c r="J9" s="10">
        <v>4.2926991201633076</v>
      </c>
      <c r="K9" s="11">
        <v>12.618257270236855</v>
      </c>
      <c r="L9" s="11">
        <v>1.7266018495484161</v>
      </c>
      <c r="M9" s="11">
        <v>449.3596419504367</v>
      </c>
      <c r="N9" s="11">
        <v>1282.2398247967685</v>
      </c>
      <c r="O9" s="10">
        <v>1294.7418544076254</v>
      </c>
      <c r="P9" s="10">
        <v>1.4652817545997756</v>
      </c>
      <c r="Q9" s="11">
        <v>8.8860920572602957</v>
      </c>
      <c r="R9" s="11">
        <v>14.56179259382167</v>
      </c>
      <c r="S9" s="10">
        <v>14.583338149383858</v>
      </c>
      <c r="T9" s="11">
        <v>126.1924872118677</v>
      </c>
      <c r="U9" s="10">
        <v>123.38661706334956</v>
      </c>
      <c r="V9" s="10">
        <v>15.55924268881313</v>
      </c>
      <c r="W9" s="10" t="s">
        <v>114</v>
      </c>
      <c r="X9" s="10">
        <v>0.16237207468460887</v>
      </c>
      <c r="Y9" s="11">
        <v>1571.7437566833873</v>
      </c>
      <c r="Z9" s="10">
        <v>5.7517491275804442</v>
      </c>
      <c r="AA9" s="10">
        <v>0.68106137620033957</v>
      </c>
      <c r="AB9" s="10">
        <v>0.78967322002881546</v>
      </c>
      <c r="AC9" s="10">
        <v>0.41501354332496293</v>
      </c>
      <c r="AD9" s="10" t="s">
        <v>114</v>
      </c>
      <c r="AE9" s="10">
        <v>1.2260859201628689</v>
      </c>
      <c r="AF9" s="10">
        <v>7.4925415040083786E-3</v>
      </c>
      <c r="AG9" s="11">
        <v>77.153903316312196</v>
      </c>
      <c r="AH9" s="11">
        <v>0.38692243992264203</v>
      </c>
      <c r="AI9" s="11">
        <v>0.63095736368302158</v>
      </c>
      <c r="AJ9" s="11">
        <v>6.1254705944436862E-2</v>
      </c>
      <c r="AK9" s="11">
        <v>0.25271456793768771</v>
      </c>
      <c r="AL9" s="11">
        <v>5.8064674876519964E-2</v>
      </c>
      <c r="AM9" s="11">
        <v>2.4148805548748688E-2</v>
      </c>
      <c r="AN9" s="11">
        <v>9.2928279791804971E-2</v>
      </c>
      <c r="AO9" s="11">
        <v>1.6859158211272509E-2</v>
      </c>
      <c r="AP9" s="11">
        <v>0.12636646056008941</v>
      </c>
      <c r="AQ9" s="11">
        <v>3.4557447887895477E-2</v>
      </c>
      <c r="AR9" s="11">
        <v>0.12251093005623971</v>
      </c>
      <c r="AS9" s="11">
        <v>2.0147976865826863E-2</v>
      </c>
      <c r="AT9" s="11">
        <v>0.14068864207133641</v>
      </c>
      <c r="AU9" s="11">
        <v>2.231448264781322E-2</v>
      </c>
      <c r="AV9" s="10">
        <v>0.38920456726329106</v>
      </c>
      <c r="AW9" s="10" t="s">
        <v>114</v>
      </c>
      <c r="AX9" s="10" t="s">
        <v>114</v>
      </c>
      <c r="AY9" s="10">
        <v>2.7231166191598755E-2</v>
      </c>
      <c r="AZ9" s="10">
        <v>12.230607173717177</v>
      </c>
      <c r="BA9" s="10">
        <v>10.95127159295374</v>
      </c>
      <c r="BB9" s="11">
        <v>11.422505078862676</v>
      </c>
      <c r="BC9" s="11">
        <v>0.10258300603875595</v>
      </c>
      <c r="BD9" s="11">
        <v>35.48850141435323</v>
      </c>
    </row>
    <row r="10" spans="1:56" x14ac:dyDescent="0.3">
      <c r="A10" t="s">
        <v>121</v>
      </c>
      <c r="B10" t="s">
        <v>62</v>
      </c>
      <c r="C10" s="10">
        <v>3696.659820821556</v>
      </c>
      <c r="D10" s="11">
        <v>1147.6043449514689</v>
      </c>
      <c r="E10" s="10">
        <v>58.508895124574657</v>
      </c>
      <c r="F10" s="10">
        <v>140733.84112141031</v>
      </c>
      <c r="G10" s="10" t="s">
        <v>114</v>
      </c>
      <c r="H10" s="10">
        <v>336378.18638584757</v>
      </c>
      <c r="I10" s="11">
        <v>329358.092593532</v>
      </c>
      <c r="J10" s="10">
        <v>6.3220815742830538</v>
      </c>
      <c r="K10" s="11">
        <v>18.994201095497008</v>
      </c>
      <c r="L10" s="11">
        <v>2.3644387458809244</v>
      </c>
      <c r="M10" s="11">
        <v>1264.362977147332</v>
      </c>
      <c r="N10" s="11">
        <v>1399.1567621872209</v>
      </c>
      <c r="O10" s="10">
        <v>1422.4521544339741</v>
      </c>
      <c r="P10" s="10">
        <v>2.3606902584384253</v>
      </c>
      <c r="Q10" s="11">
        <v>8.1865661932334479</v>
      </c>
      <c r="R10" s="11">
        <v>7.2620564678401287</v>
      </c>
      <c r="S10" s="10">
        <v>7.4473645385461991</v>
      </c>
      <c r="T10" s="11">
        <v>82.093542393456403</v>
      </c>
      <c r="U10" s="10">
        <v>80.353206705982828</v>
      </c>
      <c r="V10" s="10">
        <v>12.735602981222987</v>
      </c>
      <c r="W10" s="10" t="s">
        <v>114</v>
      </c>
      <c r="X10" s="10" t="s">
        <v>114</v>
      </c>
      <c r="Y10" s="11">
        <v>1012.0144716939704</v>
      </c>
      <c r="Z10" s="10">
        <v>2.9704179164975768</v>
      </c>
      <c r="AA10" s="10">
        <v>0.76120546252009547</v>
      </c>
      <c r="AB10" s="10">
        <v>0.91169826988959735</v>
      </c>
      <c r="AC10" s="10">
        <v>0.12469087126910289</v>
      </c>
      <c r="AD10" s="10" t="s">
        <v>114</v>
      </c>
      <c r="AE10" s="10">
        <v>0.59743249236837148</v>
      </c>
      <c r="AF10" s="10">
        <v>5.1653474427501228E-3</v>
      </c>
      <c r="AG10" s="11">
        <v>43.623085746255953</v>
      </c>
      <c r="AH10" s="11">
        <v>0.18654395529661832</v>
      </c>
      <c r="AI10" s="11">
        <v>0.25973062161278043</v>
      </c>
      <c r="AJ10" s="11">
        <v>2.0225397139389274E-2</v>
      </c>
      <c r="AK10" s="11">
        <v>0.10735031905456131</v>
      </c>
      <c r="AL10" s="11">
        <v>3.2385025215993131E-2</v>
      </c>
      <c r="AM10" s="11">
        <v>5.5212476567456118E-3</v>
      </c>
      <c r="AN10" s="11">
        <v>5.4874269478609246E-2</v>
      </c>
      <c r="AO10" s="11">
        <v>7.8794608552689768E-3</v>
      </c>
      <c r="AP10" s="11">
        <v>6.7737356550457428E-2</v>
      </c>
      <c r="AQ10" s="11">
        <v>1.9457043502411189E-2</v>
      </c>
      <c r="AR10" s="11">
        <v>6.6846554499667199E-2</v>
      </c>
      <c r="AS10" s="11">
        <v>1.3321021025641783E-2</v>
      </c>
      <c r="AT10" s="11">
        <v>9.7851706472906114E-2</v>
      </c>
      <c r="AU10" s="11">
        <v>1.5735171291832765E-2</v>
      </c>
      <c r="AV10" s="10">
        <v>0.17230164840215148</v>
      </c>
      <c r="AW10" s="10" t="s">
        <v>114</v>
      </c>
      <c r="AX10" s="10" t="s">
        <v>114</v>
      </c>
      <c r="AY10" s="10">
        <v>1.3557527341087762E-2</v>
      </c>
      <c r="AZ10" s="10">
        <v>202.28087495474034</v>
      </c>
      <c r="BA10" s="10">
        <v>181.1281922609171</v>
      </c>
      <c r="BB10" s="11">
        <v>188.13657439831812</v>
      </c>
      <c r="BC10" s="11" t="s">
        <v>114</v>
      </c>
      <c r="BD10" s="11">
        <v>28.598527745693442</v>
      </c>
    </row>
    <row r="11" spans="1:56" x14ac:dyDescent="0.3">
      <c r="A11" t="s">
        <v>122</v>
      </c>
      <c r="B11" t="s">
        <v>62</v>
      </c>
      <c r="C11" s="10">
        <v>4697.5370052842818</v>
      </c>
      <c r="D11" s="11">
        <v>2017.2703060927529</v>
      </c>
      <c r="E11" s="10">
        <v>231.10599934839016</v>
      </c>
      <c r="F11" s="10">
        <v>130151.20789622449</v>
      </c>
      <c r="G11" s="10" t="s">
        <v>114</v>
      </c>
      <c r="H11" s="10">
        <v>325413.6717047838</v>
      </c>
      <c r="I11" s="11">
        <v>321419.4859242352</v>
      </c>
      <c r="J11" s="10">
        <v>7.5660085160927872</v>
      </c>
      <c r="K11" s="11">
        <v>70.267793290682533</v>
      </c>
      <c r="L11" s="11">
        <v>40.259083017669276</v>
      </c>
      <c r="M11" s="11">
        <v>569.12596103394765</v>
      </c>
      <c r="N11" s="11">
        <v>19842.035840409597</v>
      </c>
      <c r="O11" s="10">
        <v>19166.760830073963</v>
      </c>
      <c r="P11" s="10">
        <v>2.345219230428599</v>
      </c>
      <c r="Q11" s="11">
        <v>24.816594185317893</v>
      </c>
      <c r="R11" s="11">
        <v>21.619511473171247</v>
      </c>
      <c r="S11" s="10">
        <v>22.197323021104154</v>
      </c>
      <c r="T11" s="11">
        <v>171.27673280617282</v>
      </c>
      <c r="U11" s="10">
        <v>170.20963344201331</v>
      </c>
      <c r="V11" s="10">
        <v>112.36316109497729</v>
      </c>
      <c r="W11" s="10" t="s">
        <v>114</v>
      </c>
      <c r="X11" s="10" t="s">
        <v>114</v>
      </c>
      <c r="Y11" s="11">
        <v>1329.3468135857488</v>
      </c>
      <c r="Z11" s="10">
        <v>5.973975724373342</v>
      </c>
      <c r="AA11" s="10">
        <v>1.8389995974747477</v>
      </c>
      <c r="AB11" s="10">
        <v>1.8535061249561136</v>
      </c>
      <c r="AC11" s="10">
        <v>0.10659800878647388</v>
      </c>
      <c r="AD11" s="10" t="s">
        <v>114</v>
      </c>
      <c r="AE11" s="10">
        <v>2.3885290863280595</v>
      </c>
      <c r="AF11" s="10">
        <v>2.0272475954257957E-3</v>
      </c>
      <c r="AG11" s="11">
        <v>122.26927226917256</v>
      </c>
      <c r="AH11" s="11">
        <v>0.35300480540663842</v>
      </c>
      <c r="AI11" s="11">
        <v>0.54630828827999389</v>
      </c>
      <c r="AJ11" s="11">
        <v>4.8648203358998651E-2</v>
      </c>
      <c r="AK11" s="11">
        <v>0.23937333392314483</v>
      </c>
      <c r="AL11" s="11">
        <v>5.2941446765872278E-2</v>
      </c>
      <c r="AM11" s="11">
        <v>1.4498850248827163E-2</v>
      </c>
      <c r="AN11" s="11">
        <v>7.0384839497929633E-2</v>
      </c>
      <c r="AO11" s="11">
        <v>1.3956348489964522E-2</v>
      </c>
      <c r="AP11" s="11">
        <v>0.10637456305466418</v>
      </c>
      <c r="AQ11" s="11">
        <v>2.8893922134737599E-2</v>
      </c>
      <c r="AR11" s="11">
        <v>0.11435645004977864</v>
      </c>
      <c r="AS11" s="11">
        <v>1.8731691245596614E-2</v>
      </c>
      <c r="AT11" s="11">
        <v>0.15021320010815628</v>
      </c>
      <c r="AU11" s="11">
        <v>2.5758710391552243E-2</v>
      </c>
      <c r="AV11" s="10">
        <v>0.44307723646396857</v>
      </c>
      <c r="AW11" s="10" t="s">
        <v>114</v>
      </c>
      <c r="AX11" s="10" t="s">
        <v>114</v>
      </c>
      <c r="AY11" s="10" t="s">
        <v>114</v>
      </c>
      <c r="AZ11" s="10">
        <v>16.130743111705343</v>
      </c>
      <c r="BA11" s="10">
        <v>14.573191819757158</v>
      </c>
      <c r="BB11" s="11">
        <v>15.159303060864977</v>
      </c>
      <c r="BC11" s="11">
        <v>0.1228319614643005</v>
      </c>
      <c r="BD11" s="11">
        <v>42.773732273185175</v>
      </c>
    </row>
    <row r="12" spans="1:56" x14ac:dyDescent="0.3">
      <c r="A12" t="s">
        <v>123</v>
      </c>
      <c r="B12" t="s">
        <v>62</v>
      </c>
      <c r="C12" s="10">
        <v>4298.3455726902921</v>
      </c>
      <c r="D12" s="11">
        <v>1585.2530684165542</v>
      </c>
      <c r="E12" s="10">
        <v>249.69338413066743</v>
      </c>
      <c r="F12" s="10">
        <v>137012.49021445547</v>
      </c>
      <c r="G12" s="10">
        <v>88.520097808817539</v>
      </c>
      <c r="H12" s="10">
        <v>339432.96530009736</v>
      </c>
      <c r="I12" s="11">
        <v>335769.70420828578</v>
      </c>
      <c r="J12" s="10">
        <v>12.701881935291931</v>
      </c>
      <c r="K12" s="11">
        <v>17.982871770522348</v>
      </c>
      <c r="L12" s="11">
        <v>3.0502531641901833</v>
      </c>
      <c r="M12" s="11">
        <v>933.88371034388001</v>
      </c>
      <c r="N12" s="11">
        <v>2300.166308906224</v>
      </c>
      <c r="O12" s="10">
        <v>2340.8747345918923</v>
      </c>
      <c r="P12" s="10">
        <v>1.4692676661580795</v>
      </c>
      <c r="Q12" s="11">
        <v>9.1874516060192413</v>
      </c>
      <c r="R12" s="11">
        <v>8.9149199552590588</v>
      </c>
      <c r="S12" s="10">
        <v>8.9989622714103987</v>
      </c>
      <c r="T12" s="11">
        <v>89.650536505677607</v>
      </c>
      <c r="U12" s="10">
        <v>90.733412223396584</v>
      </c>
      <c r="V12" s="10">
        <v>20.638521838775322</v>
      </c>
      <c r="W12" s="10" t="s">
        <v>114</v>
      </c>
      <c r="X12" s="10">
        <v>0.28298647576422764</v>
      </c>
      <c r="Y12" s="11">
        <v>1422.8681530915017</v>
      </c>
      <c r="Z12" s="10">
        <v>5.8552599795034697</v>
      </c>
      <c r="AA12" s="10">
        <v>0.54108833721525929</v>
      </c>
      <c r="AB12" s="10">
        <v>0.45442703850906141</v>
      </c>
      <c r="AC12" s="10">
        <v>7.6463267145957942E-2</v>
      </c>
      <c r="AD12" s="10" t="s">
        <v>114</v>
      </c>
      <c r="AE12" s="10">
        <v>0.93692887368068423</v>
      </c>
      <c r="AF12" s="10">
        <v>9.5831169044002847E-3</v>
      </c>
      <c r="AG12" s="11">
        <v>37.744301199065468</v>
      </c>
      <c r="AH12" s="11">
        <v>0.6565238557161448</v>
      </c>
      <c r="AI12" s="11">
        <v>1.6470320227178281</v>
      </c>
      <c r="AJ12" s="11">
        <v>0.13151749900025766</v>
      </c>
      <c r="AK12" s="11">
        <v>0.54999457201198176</v>
      </c>
      <c r="AL12" s="11">
        <v>0.11136463058226104</v>
      </c>
      <c r="AM12" s="11">
        <v>3.1407800933483707E-2</v>
      </c>
      <c r="AN12" s="11">
        <v>0.14949466021676389</v>
      </c>
      <c r="AO12" s="11">
        <v>2.6085978113087833E-2</v>
      </c>
      <c r="AP12" s="11">
        <v>0.18034875547429952</v>
      </c>
      <c r="AQ12" s="11">
        <v>4.0135399693451847E-2</v>
      </c>
      <c r="AR12" s="11">
        <v>0.14298181365411172</v>
      </c>
      <c r="AS12" s="11">
        <v>1.9859884903375404E-2</v>
      </c>
      <c r="AT12" s="11">
        <v>0.15780248976226352</v>
      </c>
      <c r="AU12" s="11">
        <v>2.2943738530568174E-2</v>
      </c>
      <c r="AV12" s="10">
        <v>0.22946470142567749</v>
      </c>
      <c r="AW12" s="10" t="s">
        <v>114</v>
      </c>
      <c r="AX12" s="10" t="s">
        <v>114</v>
      </c>
      <c r="AY12" s="10">
        <v>1.0689772894196838E-2</v>
      </c>
      <c r="AZ12" s="10">
        <v>67.287827667277398</v>
      </c>
      <c r="BA12" s="10">
        <v>60.643828312769251</v>
      </c>
      <c r="BB12" s="11">
        <v>63.028973968663628</v>
      </c>
      <c r="BC12" s="11">
        <v>7.2640214704320999E-2</v>
      </c>
      <c r="BD12" s="11">
        <v>24.81775013379217</v>
      </c>
    </row>
    <row r="13" spans="1:56" x14ac:dyDescent="0.3">
      <c r="A13" t="s">
        <v>124</v>
      </c>
      <c r="B13" t="s">
        <v>62</v>
      </c>
      <c r="C13" s="10">
        <v>4245.4441510976685</v>
      </c>
      <c r="D13" s="11">
        <v>1322.290106540695</v>
      </c>
      <c r="E13" s="10">
        <v>32.581686806554352</v>
      </c>
      <c r="F13" s="10">
        <v>151354.57953910288</v>
      </c>
      <c r="G13" s="10" t="s">
        <v>114</v>
      </c>
      <c r="H13" s="10">
        <v>363518.80065590184</v>
      </c>
      <c r="I13" s="11">
        <v>359158.43366637506</v>
      </c>
      <c r="J13" s="10">
        <v>3.9743730599005107</v>
      </c>
      <c r="K13" s="11">
        <v>12.635957551183855</v>
      </c>
      <c r="L13" s="11">
        <v>6.3655465519276726</v>
      </c>
      <c r="M13" s="11">
        <v>464.46884800580597</v>
      </c>
      <c r="N13" s="11">
        <v>391.11927353146353</v>
      </c>
      <c r="O13" s="10">
        <v>404.29868769769575</v>
      </c>
      <c r="P13" s="10">
        <v>0.92621917133119835</v>
      </c>
      <c r="Q13" s="11">
        <v>10.77215853323889</v>
      </c>
      <c r="R13" s="11">
        <v>30.358761868453978</v>
      </c>
      <c r="S13" s="10">
        <v>30.27567114540069</v>
      </c>
      <c r="T13" s="11">
        <v>205.5164994356285</v>
      </c>
      <c r="U13" s="10">
        <v>201.84699833153655</v>
      </c>
      <c r="V13" s="10">
        <v>10.359033724837218</v>
      </c>
      <c r="W13" s="10" t="s">
        <v>114</v>
      </c>
      <c r="X13" s="10" t="s">
        <v>114</v>
      </c>
      <c r="Y13" s="11">
        <v>1319.0272679974119</v>
      </c>
      <c r="Z13" s="10">
        <v>3.5902613854108978</v>
      </c>
      <c r="AA13" s="10">
        <v>0.69473556644308332</v>
      </c>
      <c r="AB13" s="10">
        <v>0.67761949447759962</v>
      </c>
      <c r="AC13" s="10">
        <v>1.1044293176978797</v>
      </c>
      <c r="AD13" s="10" t="s">
        <v>114</v>
      </c>
      <c r="AE13" s="10">
        <v>1.8759483284898015</v>
      </c>
      <c r="AF13" s="10">
        <v>2.4562536702291966E-3</v>
      </c>
      <c r="AG13" s="11">
        <v>91.491266099738411</v>
      </c>
      <c r="AH13" s="11">
        <v>7.3058709222612456E-2</v>
      </c>
      <c r="AI13" s="11">
        <v>0.14651396157686272</v>
      </c>
      <c r="AJ13" s="11">
        <v>1.2484947566364406E-2</v>
      </c>
      <c r="AK13" s="11">
        <v>5.3819025671203807E-2</v>
      </c>
      <c r="AL13" s="11">
        <v>1.4435783080466351E-2</v>
      </c>
      <c r="AM13" s="11">
        <v>5.5971494456822585E-3</v>
      </c>
      <c r="AN13" s="11">
        <v>2.104307850678834E-2</v>
      </c>
      <c r="AO13" s="11">
        <v>4.2531506468963523E-3</v>
      </c>
      <c r="AP13" s="11">
        <v>2.2850720144409763E-2</v>
      </c>
      <c r="AQ13" s="11">
        <v>6.894949808941734E-3</v>
      </c>
      <c r="AR13" s="11">
        <v>3.032741149859372E-2</v>
      </c>
      <c r="AS13" s="11">
        <v>4.9299817869260434E-3</v>
      </c>
      <c r="AT13" s="11">
        <v>2.9782693078823454E-2</v>
      </c>
      <c r="AU13" s="11">
        <v>7.6633148060163856E-3</v>
      </c>
      <c r="AV13" s="10">
        <v>0.17885327503371606</v>
      </c>
      <c r="AW13" s="10" t="s">
        <v>114</v>
      </c>
      <c r="AX13" s="10" t="s">
        <v>114</v>
      </c>
      <c r="AY13" s="10" t="s">
        <v>114</v>
      </c>
      <c r="AZ13" s="10">
        <v>3500.547313025213</v>
      </c>
      <c r="BA13" s="10">
        <v>3148.651593860603</v>
      </c>
      <c r="BB13" s="11">
        <v>3264.5396855901081</v>
      </c>
      <c r="BC13" s="11" t="s">
        <v>114</v>
      </c>
      <c r="BD13" s="11">
        <v>37.579813718254343</v>
      </c>
    </row>
    <row r="14" spans="1:56" x14ac:dyDescent="0.3">
      <c r="A14" t="s">
        <v>125</v>
      </c>
      <c r="B14" t="s">
        <v>62</v>
      </c>
      <c r="C14" s="10">
        <v>7180.4234280641322</v>
      </c>
      <c r="D14" s="11">
        <v>3597.1341602639436</v>
      </c>
      <c r="E14" s="10">
        <v>16.063985760852166</v>
      </c>
      <c r="F14" s="10">
        <v>148671.31416732623</v>
      </c>
      <c r="G14" s="10">
        <v>168.76850748498504</v>
      </c>
      <c r="H14" s="10">
        <v>330350.58464635746</v>
      </c>
      <c r="I14" s="11">
        <v>319372.77943740349</v>
      </c>
      <c r="J14" s="10" t="s">
        <v>114</v>
      </c>
      <c r="K14" s="11">
        <v>1.9281259641366062</v>
      </c>
      <c r="L14" s="11">
        <v>0.78439825071298674</v>
      </c>
      <c r="M14" s="11">
        <v>63.939622066584725</v>
      </c>
      <c r="N14" s="11">
        <v>96.633131913037047</v>
      </c>
      <c r="O14" s="10">
        <v>106.35802913680308</v>
      </c>
      <c r="P14" s="10">
        <v>8.6990695880805755E-2</v>
      </c>
      <c r="Q14" s="11">
        <v>3.2669848837773383</v>
      </c>
      <c r="R14" s="11">
        <v>4.7271304816332336</v>
      </c>
      <c r="S14" s="10">
        <v>4.6394940626455252</v>
      </c>
      <c r="T14" s="11">
        <v>97.691835888224659</v>
      </c>
      <c r="U14" s="10">
        <v>96.33721004834679</v>
      </c>
      <c r="V14" s="10">
        <v>1.7557396673574004</v>
      </c>
      <c r="W14" s="10" t="s">
        <v>114</v>
      </c>
      <c r="X14" s="10" t="s">
        <v>114</v>
      </c>
      <c r="Y14" s="11">
        <v>498.31410313292912</v>
      </c>
      <c r="Z14" s="10">
        <v>0.46359253079255663</v>
      </c>
      <c r="AA14" s="10">
        <v>0.49456262079019775</v>
      </c>
      <c r="AB14" s="10">
        <v>0.53103911861898179</v>
      </c>
      <c r="AC14" s="10" t="s">
        <v>114</v>
      </c>
      <c r="AD14" s="10" t="s">
        <v>114</v>
      </c>
      <c r="AE14" s="10">
        <v>5.6218884705365388E-2</v>
      </c>
      <c r="AF14" s="10">
        <v>1.8066422038947765E-3</v>
      </c>
      <c r="AG14" s="11">
        <v>10.280811678738695</v>
      </c>
      <c r="AH14" s="11">
        <v>8.2778221099778074E-2</v>
      </c>
      <c r="AI14" s="11">
        <v>0.17905996440304267</v>
      </c>
      <c r="AJ14" s="11">
        <v>1.8578426076240873E-2</v>
      </c>
      <c r="AK14" s="11">
        <v>8.3623700037494697E-2</v>
      </c>
      <c r="AL14" s="11">
        <v>1.4189602750601125E-2</v>
      </c>
      <c r="AM14" s="11">
        <v>5.0932385821757234E-3</v>
      </c>
      <c r="AN14" s="11">
        <v>1.8792361052307673E-2</v>
      </c>
      <c r="AO14" s="11">
        <v>5.3036742149680663E-3</v>
      </c>
      <c r="AP14" s="11">
        <v>1.4477315406662146E-2</v>
      </c>
      <c r="AQ14" s="11" t="s">
        <v>114</v>
      </c>
      <c r="AR14" s="11">
        <v>1.2895504881727813E-2</v>
      </c>
      <c r="AS14" s="11" t="s">
        <v>114</v>
      </c>
      <c r="AT14" s="11" t="s">
        <v>114</v>
      </c>
      <c r="AU14" s="11" t="s">
        <v>114</v>
      </c>
      <c r="AV14" s="10">
        <v>0.47494770860008545</v>
      </c>
      <c r="AW14" s="10">
        <v>2.414666716085013</v>
      </c>
      <c r="AX14" s="10" t="s">
        <v>114</v>
      </c>
      <c r="AY14" s="10" t="s">
        <v>114</v>
      </c>
      <c r="AZ14" s="10">
        <v>0.98477686619974458</v>
      </c>
      <c r="BA14" s="10">
        <v>0.84301156863447269</v>
      </c>
      <c r="BB14" s="11">
        <v>0.90343359550360214</v>
      </c>
      <c r="BC14" s="11">
        <v>0.22895062693174731</v>
      </c>
      <c r="BD14" s="11">
        <v>1.5718281897744548</v>
      </c>
    </row>
    <row r="15" spans="1:56" x14ac:dyDescent="0.3">
      <c r="A15" t="s">
        <v>126</v>
      </c>
      <c r="B15" t="s">
        <v>62</v>
      </c>
      <c r="C15" s="10">
        <v>5914.6252141917312</v>
      </c>
      <c r="D15" s="11">
        <v>2689.4799039109876</v>
      </c>
      <c r="E15" s="10">
        <v>588.51322768997682</v>
      </c>
      <c r="F15" s="10">
        <v>135058.1100226577</v>
      </c>
      <c r="G15" s="10">
        <v>122.3647436552308</v>
      </c>
      <c r="H15" s="10">
        <v>335107.32204963843</v>
      </c>
      <c r="I15" s="11">
        <v>331947.48130440706</v>
      </c>
      <c r="J15" s="10">
        <v>29.916603334788196</v>
      </c>
      <c r="K15" s="11">
        <v>192.38392597578584</v>
      </c>
      <c r="L15" s="11">
        <v>55.705416302227675</v>
      </c>
      <c r="M15" s="11">
        <v>713.23746578940836</v>
      </c>
      <c r="N15" s="11">
        <v>61292.979977714655</v>
      </c>
      <c r="O15" s="10">
        <v>59305.232950363512</v>
      </c>
      <c r="P15" s="10">
        <v>5.3710734903127753</v>
      </c>
      <c r="Q15" s="11">
        <v>43.365768610007997</v>
      </c>
      <c r="R15" s="11">
        <v>47.258737156477395</v>
      </c>
      <c r="S15" s="10">
        <v>46.993886470422964</v>
      </c>
      <c r="T15" s="11">
        <v>236.81904001438207</v>
      </c>
      <c r="U15" s="10">
        <v>231.70712827125962</v>
      </c>
      <c r="V15" s="10">
        <v>342.28935264238243</v>
      </c>
      <c r="W15" s="10" t="s">
        <v>114</v>
      </c>
      <c r="X15" s="10">
        <v>0.32822196173480395</v>
      </c>
      <c r="Y15" s="11">
        <v>1610.6964021105534</v>
      </c>
      <c r="Z15" s="10">
        <v>8.9807782322466814</v>
      </c>
      <c r="AA15" s="10">
        <v>3.7859792342981096</v>
      </c>
      <c r="AB15" s="10">
        <v>3.8862900579049686</v>
      </c>
      <c r="AC15" s="10">
        <v>0.52065155476293179</v>
      </c>
      <c r="AD15" s="10" t="s">
        <v>114</v>
      </c>
      <c r="AE15" s="10">
        <v>4.229662909384686</v>
      </c>
      <c r="AF15" s="10">
        <v>6.6109973973520709E-3</v>
      </c>
      <c r="AG15" s="11">
        <v>95.364852583014198</v>
      </c>
      <c r="AH15" s="11">
        <v>1.1107984893287686</v>
      </c>
      <c r="AI15" s="11">
        <v>1.7942612175798167</v>
      </c>
      <c r="AJ15" s="11">
        <v>0.16635880721069851</v>
      </c>
      <c r="AK15" s="11">
        <v>0.7311025797634445</v>
      </c>
      <c r="AL15" s="11">
        <v>0.18079853746891869</v>
      </c>
      <c r="AM15" s="11">
        <v>4.8250304449024686E-2</v>
      </c>
      <c r="AN15" s="11">
        <v>0.25839087280548317</v>
      </c>
      <c r="AO15" s="11">
        <v>4.6683825624206719E-2</v>
      </c>
      <c r="AP15" s="11">
        <v>0.36515492053073206</v>
      </c>
      <c r="AQ15" s="11">
        <v>9.6278439446038297E-2</v>
      </c>
      <c r="AR15" s="11">
        <v>0.35221002371985549</v>
      </c>
      <c r="AS15" s="11">
        <v>5.6510992077479796E-2</v>
      </c>
      <c r="AT15" s="11">
        <v>0.40548280602625336</v>
      </c>
      <c r="AU15" s="11">
        <v>6.6989303540139572E-2</v>
      </c>
      <c r="AV15" s="10">
        <v>0.39481803332442778</v>
      </c>
      <c r="AW15" s="10">
        <v>0.42837556470344312</v>
      </c>
      <c r="AX15" s="10" t="s">
        <v>114</v>
      </c>
      <c r="AY15" s="10">
        <v>3.3222950789336819E-2</v>
      </c>
      <c r="AZ15" s="10">
        <v>50.845069056374648</v>
      </c>
      <c r="BA15" s="10">
        <v>45.588788449757487</v>
      </c>
      <c r="BB15" s="11">
        <v>47.448954298703434</v>
      </c>
      <c r="BC15" s="11">
        <v>7.1134683971809942E-2</v>
      </c>
      <c r="BD15" s="11">
        <v>29.913617235981558</v>
      </c>
    </row>
    <row r="16" spans="1:56" x14ac:dyDescent="0.3">
      <c r="A16" t="s">
        <v>127</v>
      </c>
      <c r="B16" t="s">
        <v>62</v>
      </c>
      <c r="C16" s="10">
        <v>6955.7149203716272</v>
      </c>
      <c r="D16" s="11">
        <v>2528.8789707349924</v>
      </c>
      <c r="E16" s="10">
        <v>61.870266163699469</v>
      </c>
      <c r="F16" s="10">
        <v>160615.98656421297</v>
      </c>
      <c r="G16" s="10">
        <v>92.718519177968759</v>
      </c>
      <c r="H16" s="10">
        <v>398421.63506103435</v>
      </c>
      <c r="I16" s="11">
        <v>395827.53981416975</v>
      </c>
      <c r="J16" s="10">
        <v>6.8044727724341838</v>
      </c>
      <c r="K16" s="11">
        <v>5.5937721911003582</v>
      </c>
      <c r="L16" s="11">
        <v>2.2694935721571605</v>
      </c>
      <c r="M16" s="11">
        <v>277.16260474448467</v>
      </c>
      <c r="N16" s="11">
        <v>388.3018686775236</v>
      </c>
      <c r="O16" s="10">
        <v>409.1053030328419</v>
      </c>
      <c r="P16" s="10">
        <v>0.57396351412418345</v>
      </c>
      <c r="Q16" s="11">
        <v>10.089961717551253</v>
      </c>
      <c r="R16" s="11">
        <v>18.248546604136425</v>
      </c>
      <c r="S16" s="10">
        <v>18.115749159714753</v>
      </c>
      <c r="T16" s="11">
        <v>99.817102485236163</v>
      </c>
      <c r="U16" s="10">
        <v>101.13161648068179</v>
      </c>
      <c r="V16" s="10">
        <v>19.700275728641188</v>
      </c>
      <c r="W16" s="10" t="s">
        <v>114</v>
      </c>
      <c r="X16" s="10">
        <v>0.17181248854471753</v>
      </c>
      <c r="Y16" s="11">
        <v>1893.7905196826041</v>
      </c>
      <c r="Z16" s="10">
        <v>6.2464319215675204</v>
      </c>
      <c r="AA16" s="10">
        <v>0.95723684121638397</v>
      </c>
      <c r="AB16" s="10">
        <v>0.91665702565145013</v>
      </c>
      <c r="AC16" s="10">
        <v>0.11885747686255278</v>
      </c>
      <c r="AD16" s="10" t="s">
        <v>114</v>
      </c>
      <c r="AE16" s="10">
        <v>1.1960538825174365</v>
      </c>
      <c r="AF16" s="10">
        <v>5.5033359634474883E-3</v>
      </c>
      <c r="AG16" s="11">
        <v>115.96022038952459</v>
      </c>
      <c r="AH16" s="11">
        <v>1.4542113500722988</v>
      </c>
      <c r="AI16" s="11">
        <v>2.7782803430902767</v>
      </c>
      <c r="AJ16" s="11">
        <v>0.2331401008132003</v>
      </c>
      <c r="AK16" s="11">
        <v>1.0539762349556683</v>
      </c>
      <c r="AL16" s="11">
        <v>0.21747110508546655</v>
      </c>
      <c r="AM16" s="11">
        <v>6.2868610410574066E-2</v>
      </c>
      <c r="AN16" s="11">
        <v>0.3399553597526272</v>
      </c>
      <c r="AO16" s="11">
        <v>5.8432574452325199E-2</v>
      </c>
      <c r="AP16" s="11">
        <v>0.44706147759274772</v>
      </c>
      <c r="AQ16" s="11">
        <v>0.11875089212042877</v>
      </c>
      <c r="AR16" s="11">
        <v>0.39801043309969303</v>
      </c>
      <c r="AS16" s="11">
        <v>6.6672789575146926E-2</v>
      </c>
      <c r="AT16" s="11">
        <v>0.44048355018193447</v>
      </c>
      <c r="AU16" s="11">
        <v>7.1015585507452864E-2</v>
      </c>
      <c r="AV16" s="10">
        <v>0.24669172293505415</v>
      </c>
      <c r="AW16" s="10" t="s">
        <v>114</v>
      </c>
      <c r="AX16" s="10" t="s">
        <v>114</v>
      </c>
      <c r="AY16" s="10">
        <v>4.648541828722672E-3</v>
      </c>
      <c r="AZ16" s="10">
        <v>38.532847516374567</v>
      </c>
      <c r="BA16" s="10">
        <v>34.420051115047762</v>
      </c>
      <c r="BB16" s="11">
        <v>35.917368894700068</v>
      </c>
      <c r="BC16" s="11" t="s">
        <v>114</v>
      </c>
      <c r="BD16" s="11">
        <v>36.215791939425401</v>
      </c>
    </row>
    <row r="17" spans="1:56" x14ac:dyDescent="0.3">
      <c r="A17" t="s">
        <v>128</v>
      </c>
      <c r="B17" t="s">
        <v>62</v>
      </c>
      <c r="C17" s="10">
        <v>6872.3176947426282</v>
      </c>
      <c r="D17" s="11">
        <v>3440.6669737104539</v>
      </c>
      <c r="E17" s="10">
        <v>18.980070308725889</v>
      </c>
      <c r="F17" s="10">
        <v>153733.39568100331</v>
      </c>
      <c r="G17" s="10">
        <v>138.6793584611568</v>
      </c>
      <c r="H17" s="10">
        <v>333364.38022559276</v>
      </c>
      <c r="I17" s="11">
        <v>322646.46949639567</v>
      </c>
      <c r="J17" s="10" t="s">
        <v>114</v>
      </c>
      <c r="K17" s="11">
        <v>0.48102225079606042</v>
      </c>
      <c r="L17" s="11">
        <v>5.2950522959866095</v>
      </c>
      <c r="M17" s="11">
        <v>8.4384551187442849</v>
      </c>
      <c r="N17" s="11">
        <v>61.959949963370768</v>
      </c>
      <c r="O17" s="10">
        <v>70.259904508241519</v>
      </c>
      <c r="P17" s="10" t="s">
        <v>114</v>
      </c>
      <c r="Q17" s="11">
        <v>0.33701204883275682</v>
      </c>
      <c r="R17" s="11">
        <v>0.87780446123077571</v>
      </c>
      <c r="S17" s="10">
        <v>0.77605437190119897</v>
      </c>
      <c r="T17" s="11">
        <v>110.96666615924775</v>
      </c>
      <c r="U17" s="10">
        <v>104.72824174813182</v>
      </c>
      <c r="V17" s="10" t="s">
        <v>114</v>
      </c>
      <c r="W17" s="10" t="s">
        <v>114</v>
      </c>
      <c r="X17" s="10" t="s">
        <v>114</v>
      </c>
      <c r="Y17" s="11">
        <v>219.98154103249325</v>
      </c>
      <c r="Z17" s="10">
        <v>0.17504114495887796</v>
      </c>
      <c r="AA17" s="10">
        <v>0.93757880621564538</v>
      </c>
      <c r="AB17" s="10">
        <v>0.83078548192561397</v>
      </c>
      <c r="AC17" s="10" t="s">
        <v>114</v>
      </c>
      <c r="AD17" s="10" t="s">
        <v>114</v>
      </c>
      <c r="AE17" s="10">
        <v>3.6209452083260651E-2</v>
      </c>
      <c r="AF17" s="10">
        <v>3.1147860148235426E-3</v>
      </c>
      <c r="AG17" s="11">
        <v>3.6547708815372064</v>
      </c>
      <c r="AH17" s="11">
        <v>0.15543157243743763</v>
      </c>
      <c r="AI17" s="11">
        <v>0.5160502148202325</v>
      </c>
      <c r="AJ17" s="11">
        <v>3.5080961416467903E-2</v>
      </c>
      <c r="AK17" s="11">
        <v>0.13649649303251205</v>
      </c>
      <c r="AL17" s="11">
        <v>3.0837310988167461E-2</v>
      </c>
      <c r="AM17" s="11">
        <v>8.8492454025643381E-3</v>
      </c>
      <c r="AN17" s="11">
        <v>3.675824027711827E-2</v>
      </c>
      <c r="AO17" s="11">
        <v>5.6738053390955976E-3</v>
      </c>
      <c r="AP17" s="11">
        <v>2.3785726544789835E-2</v>
      </c>
      <c r="AQ17" s="11">
        <v>7.8689604852580589E-3</v>
      </c>
      <c r="AR17" s="11">
        <v>1.7998079320497712E-2</v>
      </c>
      <c r="AS17" s="11">
        <v>4.220457238620981E-3</v>
      </c>
      <c r="AT17" s="11">
        <v>1.739250403362717E-2</v>
      </c>
      <c r="AU17" s="11">
        <v>2.729813279351353E-3</v>
      </c>
      <c r="AV17" s="10">
        <v>0.28393216604895044</v>
      </c>
      <c r="AW17" s="10">
        <v>2.0356692942485886</v>
      </c>
      <c r="AX17" s="10" t="s">
        <v>114</v>
      </c>
      <c r="AY17" s="10">
        <v>4.3430318863619047E-3</v>
      </c>
      <c r="AZ17" s="10">
        <v>4.4347454161355619</v>
      </c>
      <c r="BA17" s="10">
        <v>3.9209295891682534</v>
      </c>
      <c r="BB17" s="11">
        <v>4.0923116413116638</v>
      </c>
      <c r="BC17" s="11">
        <v>0.16693267626930186</v>
      </c>
      <c r="BD17" s="11">
        <v>0.18868703619666022</v>
      </c>
    </row>
    <row r="18" spans="1:56" x14ac:dyDescent="0.3">
      <c r="A18" t="s">
        <v>129</v>
      </c>
      <c r="B18" t="s">
        <v>62</v>
      </c>
      <c r="C18" s="10">
        <v>6850.3938320309953</v>
      </c>
      <c r="D18" s="11">
        <v>3928.9752111943067</v>
      </c>
      <c r="E18" s="10">
        <v>75.048755650193399</v>
      </c>
      <c r="F18" s="10">
        <v>150245.36166304734</v>
      </c>
      <c r="G18" s="10">
        <v>109.56521137340576</v>
      </c>
      <c r="H18" s="10">
        <v>382150.37774773408</v>
      </c>
      <c r="I18" s="11">
        <v>383959.81561833184</v>
      </c>
      <c r="J18" s="10">
        <v>4.3655954003013511</v>
      </c>
      <c r="K18" s="11">
        <v>9.0579682431859645</v>
      </c>
      <c r="L18" s="11">
        <v>15.449290782438522</v>
      </c>
      <c r="M18" s="11">
        <v>775.5656806776467</v>
      </c>
      <c r="N18" s="11">
        <v>265.33577670298257</v>
      </c>
      <c r="O18" s="10">
        <v>276.85075024242241</v>
      </c>
      <c r="P18" s="10">
        <v>0.83608655551146549</v>
      </c>
      <c r="Q18" s="11">
        <v>13.018621773843019</v>
      </c>
      <c r="R18" s="11">
        <v>20.188800513125127</v>
      </c>
      <c r="S18" s="10">
        <v>20.67383826135482</v>
      </c>
      <c r="T18" s="11">
        <v>74.406765339306304</v>
      </c>
      <c r="U18" s="10">
        <v>90.526758356106782</v>
      </c>
      <c r="V18" s="10">
        <v>8.9124881807354992</v>
      </c>
      <c r="W18" s="10" t="s">
        <v>114</v>
      </c>
      <c r="X18" s="10">
        <v>0.12694473812563165</v>
      </c>
      <c r="Y18" s="11">
        <v>2811.5588921613207</v>
      </c>
      <c r="Z18" s="10">
        <v>4.6274769868375234</v>
      </c>
      <c r="AA18" s="10" t="s">
        <v>114</v>
      </c>
      <c r="AB18" s="10" t="s">
        <v>114</v>
      </c>
      <c r="AC18" s="10" t="s">
        <v>114</v>
      </c>
      <c r="AD18" s="10" t="s">
        <v>114</v>
      </c>
      <c r="AE18" s="10">
        <v>0.71574783657467822</v>
      </c>
      <c r="AF18" s="10">
        <v>4.5755640483978047E-3</v>
      </c>
      <c r="AG18" s="11">
        <v>396.43610435222996</v>
      </c>
      <c r="AH18" s="11">
        <v>7.6069325877292288E-2</v>
      </c>
      <c r="AI18" s="11">
        <v>0.15724394086386195</v>
      </c>
      <c r="AJ18" s="11">
        <v>1.284474720177841E-2</v>
      </c>
      <c r="AK18" s="11">
        <v>5.6444116605212293E-2</v>
      </c>
      <c r="AL18" s="11" t="s">
        <v>114</v>
      </c>
      <c r="AM18" s="11">
        <v>1.1455106997129753E-2</v>
      </c>
      <c r="AN18" s="11">
        <v>9.8119063242886138E-3</v>
      </c>
      <c r="AO18" s="11" t="s">
        <v>114</v>
      </c>
      <c r="AP18" s="11">
        <v>1.6258723146194132E-2</v>
      </c>
      <c r="AQ18" s="11" t="s">
        <v>114</v>
      </c>
      <c r="AR18" s="11">
        <v>1.6909106148945269E-2</v>
      </c>
      <c r="AS18" s="11" t="s">
        <v>114</v>
      </c>
      <c r="AT18" s="11">
        <v>2.8197035965128809E-2</v>
      </c>
      <c r="AU18" s="11">
        <v>7.1784221708910525E-3</v>
      </c>
      <c r="AV18" s="10">
        <v>0.20089495580135949</v>
      </c>
      <c r="AW18" s="10" t="s">
        <v>114</v>
      </c>
      <c r="AX18" s="10" t="s">
        <v>114</v>
      </c>
      <c r="AY18" s="10">
        <v>7.4310758610677029E-3</v>
      </c>
      <c r="AZ18" s="10">
        <v>29.511780075624024</v>
      </c>
      <c r="BA18" s="10">
        <v>26.467727296806306</v>
      </c>
      <c r="BB18" s="11">
        <v>27.568933346812674</v>
      </c>
      <c r="BC18" s="11" t="s">
        <v>114</v>
      </c>
      <c r="BD18" s="11">
        <v>42.091080708459565</v>
      </c>
    </row>
    <row r="19" spans="1:56" x14ac:dyDescent="0.3">
      <c r="A19" t="s">
        <v>130</v>
      </c>
      <c r="B19" t="s">
        <v>62</v>
      </c>
      <c r="C19" s="10">
        <v>4723.242700807531</v>
      </c>
      <c r="D19" s="11">
        <v>1733.1877354804858</v>
      </c>
      <c r="E19" s="10">
        <v>231.52463155982531</v>
      </c>
      <c r="F19" s="10">
        <v>110579.63494603451</v>
      </c>
      <c r="G19" s="10">
        <v>112.36556237967153</v>
      </c>
      <c r="H19" s="10">
        <v>276326.04957206798</v>
      </c>
      <c r="I19" s="11">
        <v>274206.91441076313</v>
      </c>
      <c r="J19" s="10">
        <v>7.5703311826157407</v>
      </c>
      <c r="K19" s="11">
        <v>14.895012316825941</v>
      </c>
      <c r="L19" s="11">
        <v>4.6505401559998285</v>
      </c>
      <c r="M19" s="11">
        <v>271.73400390299372</v>
      </c>
      <c r="N19" s="11">
        <v>1059.2012664875695</v>
      </c>
      <c r="O19" s="10">
        <v>1060.3777055476169</v>
      </c>
      <c r="P19" s="10">
        <v>1.2860764701179213</v>
      </c>
      <c r="Q19" s="11">
        <v>6.1645891780570121</v>
      </c>
      <c r="R19" s="11">
        <v>12.93243606329515</v>
      </c>
      <c r="S19" s="10">
        <v>13.203946429138274</v>
      </c>
      <c r="T19" s="11">
        <v>106.5698217343468</v>
      </c>
      <c r="U19" s="10">
        <v>108.93825739883214</v>
      </c>
      <c r="V19" s="10">
        <v>8.022278887101459</v>
      </c>
      <c r="W19" s="10" t="s">
        <v>114</v>
      </c>
      <c r="X19" s="10">
        <v>0.3464826321452511</v>
      </c>
      <c r="Y19" s="11">
        <v>1385.0147842710796</v>
      </c>
      <c r="Z19" s="10">
        <v>4.5556772735741307</v>
      </c>
      <c r="AA19" s="10">
        <v>0.6242096938111682</v>
      </c>
      <c r="AB19" s="10">
        <v>0.63401787019323097</v>
      </c>
      <c r="AC19" s="10">
        <v>0.22001527571619328</v>
      </c>
      <c r="AD19" s="10" t="s">
        <v>114</v>
      </c>
      <c r="AE19" s="10">
        <v>1.0445342587595532</v>
      </c>
      <c r="AF19" s="10">
        <v>8.0310438899292499E-3</v>
      </c>
      <c r="AG19" s="11">
        <v>134.94745342422954</v>
      </c>
      <c r="AH19" s="11">
        <v>0.99367066848062879</v>
      </c>
      <c r="AI19" s="11">
        <v>2.0857690127679018</v>
      </c>
      <c r="AJ19" s="11">
        <v>0.16869440766575672</v>
      </c>
      <c r="AK19" s="11">
        <v>0.74870079214889396</v>
      </c>
      <c r="AL19" s="11">
        <v>0.15007863895147572</v>
      </c>
      <c r="AM19" s="11">
        <v>3.7186715021779893E-2</v>
      </c>
      <c r="AN19" s="11">
        <v>0.16377296111384201</v>
      </c>
      <c r="AO19" s="11">
        <v>3.0294566449086003E-2</v>
      </c>
      <c r="AP19" s="11">
        <v>0.1955509772410981</v>
      </c>
      <c r="AQ19" s="11">
        <v>4.4072459402193988E-2</v>
      </c>
      <c r="AR19" s="11">
        <v>0.14538537214800071</v>
      </c>
      <c r="AS19" s="11">
        <v>2.6071483605061216E-2</v>
      </c>
      <c r="AT19" s="11">
        <v>0.14784255225200735</v>
      </c>
      <c r="AU19" s="11">
        <v>2.5079168087217326E-2</v>
      </c>
      <c r="AV19" s="10">
        <v>0.18106160517179301</v>
      </c>
      <c r="AW19" s="10" t="s">
        <v>114</v>
      </c>
      <c r="AX19" s="10" t="s">
        <v>114</v>
      </c>
      <c r="AY19" s="10" t="s">
        <v>114</v>
      </c>
      <c r="AZ19" s="10">
        <v>9.8537565575824644</v>
      </c>
      <c r="BA19" s="10">
        <v>8.6449871155233353</v>
      </c>
      <c r="BB19" s="11">
        <v>9.1374749923725975</v>
      </c>
      <c r="BC19" s="11" t="s">
        <v>114</v>
      </c>
      <c r="BD19" s="11">
        <v>36.27120773327578</v>
      </c>
    </row>
    <row r="20" spans="1:56" x14ac:dyDescent="0.3">
      <c r="A20" t="s">
        <v>131</v>
      </c>
      <c r="B20" t="s">
        <v>62</v>
      </c>
      <c r="C20" s="10">
        <v>7005.734833206393</v>
      </c>
      <c r="D20" s="11">
        <v>3080.3772529747362</v>
      </c>
      <c r="E20" s="10">
        <v>17.576693011233125</v>
      </c>
      <c r="F20" s="10">
        <v>150125.92149891477</v>
      </c>
      <c r="G20" s="10">
        <v>156.13854964078203</v>
      </c>
      <c r="H20" s="10">
        <v>324561.07847064908</v>
      </c>
      <c r="I20" s="11">
        <v>314614.70218839101</v>
      </c>
      <c r="J20" s="10" t="s">
        <v>114</v>
      </c>
      <c r="K20" s="11">
        <v>0.77043400543653207</v>
      </c>
      <c r="L20" s="11">
        <v>1.0655309900884731</v>
      </c>
      <c r="M20" s="11">
        <v>36.105490155556339</v>
      </c>
      <c r="N20" s="11">
        <v>35.983576025204009</v>
      </c>
      <c r="O20" s="10">
        <v>46.722983145547531</v>
      </c>
      <c r="P20" s="10">
        <v>6.9201122510205715E-2</v>
      </c>
      <c r="Q20" s="11">
        <v>0.67810061173727199</v>
      </c>
      <c r="R20" s="11">
        <v>1.9707865155086604</v>
      </c>
      <c r="S20" s="10">
        <v>1.9639970124865542</v>
      </c>
      <c r="T20" s="11">
        <v>96.5475431537524</v>
      </c>
      <c r="U20" s="10">
        <v>92.616243503979362</v>
      </c>
      <c r="V20" s="10">
        <v>0.77268230116743442</v>
      </c>
      <c r="W20" s="10" t="s">
        <v>114</v>
      </c>
      <c r="X20" s="10" t="s">
        <v>114</v>
      </c>
      <c r="Y20" s="11">
        <v>220.5044090127947</v>
      </c>
      <c r="Z20" s="10">
        <v>0.77648111535059916</v>
      </c>
      <c r="AA20" s="10">
        <v>0.81946751783491989</v>
      </c>
      <c r="AB20" s="10">
        <v>0.83576871485544346</v>
      </c>
      <c r="AC20" s="10">
        <v>2.8235749762561328E-2</v>
      </c>
      <c r="AD20" s="10" t="s">
        <v>114</v>
      </c>
      <c r="AE20" s="10">
        <v>3.7163867313091591E-2</v>
      </c>
      <c r="AF20" s="10">
        <v>3.9768614318644851E-3</v>
      </c>
      <c r="AG20" s="11">
        <v>8.9169875742814853</v>
      </c>
      <c r="AH20" s="11">
        <v>0.17477013953448139</v>
      </c>
      <c r="AI20" s="11">
        <v>0.44959308800888992</v>
      </c>
      <c r="AJ20" s="11">
        <v>3.8927070365683866E-2</v>
      </c>
      <c r="AK20" s="11">
        <v>0.15229202872813927</v>
      </c>
      <c r="AL20" s="11">
        <v>3.1505505155586998E-2</v>
      </c>
      <c r="AM20" s="11">
        <v>8.4876019094996796E-3</v>
      </c>
      <c r="AN20" s="11">
        <v>4.2897628248151624E-2</v>
      </c>
      <c r="AO20" s="11">
        <v>6.766606403904557E-3</v>
      </c>
      <c r="AP20" s="11">
        <v>2.9175461580787865E-2</v>
      </c>
      <c r="AQ20" s="11">
        <v>7.0379941586596276E-3</v>
      </c>
      <c r="AR20" s="11">
        <v>2.2490533821858828E-2</v>
      </c>
      <c r="AS20" s="11">
        <v>2.8313378592519532E-3</v>
      </c>
      <c r="AT20" s="11">
        <v>1.6103026145730562E-2</v>
      </c>
      <c r="AU20" s="11">
        <v>3.6772099901698999E-3</v>
      </c>
      <c r="AV20" s="10">
        <v>0.53734390172859303</v>
      </c>
      <c r="AW20" s="10">
        <v>2.2440036175757867</v>
      </c>
      <c r="AX20" s="10" t="s">
        <v>114</v>
      </c>
      <c r="AY20" s="10" t="s">
        <v>114</v>
      </c>
      <c r="AZ20" s="10">
        <v>0.70928925192949699</v>
      </c>
      <c r="BA20" s="10">
        <v>0.6367631091299969</v>
      </c>
      <c r="BB20" s="11">
        <v>0.67001074944837835</v>
      </c>
      <c r="BC20" s="11">
        <v>0.4119899382087947</v>
      </c>
      <c r="BD20" s="11">
        <v>0.94851294814446419</v>
      </c>
    </row>
    <row r="21" spans="1:56" x14ac:dyDescent="0.3">
      <c r="A21" t="s">
        <v>132</v>
      </c>
      <c r="B21" t="s">
        <v>62</v>
      </c>
      <c r="C21" s="10">
        <v>3891.7869421870632</v>
      </c>
      <c r="D21" s="11">
        <v>1768.2535353315213</v>
      </c>
      <c r="E21" s="10">
        <v>143.44393425832254</v>
      </c>
      <c r="F21" s="10">
        <v>135150.32903346498</v>
      </c>
      <c r="G21" s="10">
        <v>91.758118987886903</v>
      </c>
      <c r="H21" s="10">
        <v>321802.5949884507</v>
      </c>
      <c r="I21" s="11">
        <v>322766.22965837386</v>
      </c>
      <c r="J21" s="10">
        <v>7.3226950512983082</v>
      </c>
      <c r="K21" s="11">
        <v>11.418859041106943</v>
      </c>
      <c r="L21" s="11">
        <v>12.684337748039633</v>
      </c>
      <c r="M21" s="11">
        <v>1104.3003208824819</v>
      </c>
      <c r="N21" s="11">
        <v>321.44322457088998</v>
      </c>
      <c r="O21" s="10">
        <v>327.28470777988258</v>
      </c>
      <c r="P21" s="10">
        <v>2.369232465820879</v>
      </c>
      <c r="Q21" s="11">
        <v>16.924034598018011</v>
      </c>
      <c r="R21" s="11">
        <v>23.750113817048767</v>
      </c>
      <c r="S21" s="10">
        <v>24.321396664081082</v>
      </c>
      <c r="T21" s="11">
        <v>127.65280401957328</v>
      </c>
      <c r="U21" s="10">
        <v>128.30435959695257</v>
      </c>
      <c r="V21" s="10">
        <v>7.3520054893483415</v>
      </c>
      <c r="W21" s="10" t="s">
        <v>114</v>
      </c>
      <c r="X21" s="10">
        <v>0.30689722639192185</v>
      </c>
      <c r="Y21" s="11">
        <v>1558.7848854945319</v>
      </c>
      <c r="Z21" s="10">
        <v>5.6368305861598538</v>
      </c>
      <c r="AA21" s="10">
        <v>1.1865854943941974</v>
      </c>
      <c r="AB21" s="10">
        <v>1.277233020514764</v>
      </c>
      <c r="AC21" s="10">
        <v>0.12456500025538607</v>
      </c>
      <c r="AD21" s="10" t="s">
        <v>114</v>
      </c>
      <c r="AE21" s="10">
        <v>0.85728775219387798</v>
      </c>
      <c r="AF21" s="10">
        <v>8.9134681877937848E-3</v>
      </c>
      <c r="AG21" s="11">
        <v>114.93103481452326</v>
      </c>
      <c r="AH21" s="11">
        <v>0.26324071726591181</v>
      </c>
      <c r="AI21" s="11">
        <v>0.66796594000578102</v>
      </c>
      <c r="AJ21" s="11">
        <v>4.4245773512674932E-2</v>
      </c>
      <c r="AK21" s="11">
        <v>0.21206931161337653</v>
      </c>
      <c r="AL21" s="11">
        <v>3.7728901432268327E-2</v>
      </c>
      <c r="AM21" s="11">
        <v>1.0809548079737165E-2</v>
      </c>
      <c r="AN21" s="11">
        <v>5.769519415012752E-2</v>
      </c>
      <c r="AO21" s="11">
        <v>9.9136642991407876E-3</v>
      </c>
      <c r="AP21" s="11">
        <v>7.1019079918388558E-2</v>
      </c>
      <c r="AQ21" s="11">
        <v>1.8042288932844337E-2</v>
      </c>
      <c r="AR21" s="11">
        <v>5.7491927512227176E-2</v>
      </c>
      <c r="AS21" s="11">
        <v>9.2458181490809484E-3</v>
      </c>
      <c r="AT21" s="11">
        <v>8.1015843229439569E-2</v>
      </c>
      <c r="AU21" s="11">
        <v>1.2090941425649275E-2</v>
      </c>
      <c r="AV21" s="10">
        <v>8.5453395020502088E-2</v>
      </c>
      <c r="AW21" s="10" t="s">
        <v>114</v>
      </c>
      <c r="AX21" s="10" t="s">
        <v>114</v>
      </c>
      <c r="AY21" s="10">
        <v>2.0766437600375279E-2</v>
      </c>
      <c r="AZ21" s="10">
        <v>33.021777146452003</v>
      </c>
      <c r="BA21" s="10">
        <v>29.607412778365216</v>
      </c>
      <c r="BB21" s="11">
        <v>30.832473687996004</v>
      </c>
      <c r="BC21" s="11" t="s">
        <v>114</v>
      </c>
      <c r="BD21" s="11">
        <v>42.692196163243345</v>
      </c>
    </row>
    <row r="22" spans="1:56" x14ac:dyDescent="0.3">
      <c r="A22" t="s">
        <v>133</v>
      </c>
      <c r="B22" t="s">
        <v>62</v>
      </c>
      <c r="C22" s="10">
        <v>5221.7191062536858</v>
      </c>
      <c r="D22" s="11">
        <v>2089.938568716284</v>
      </c>
      <c r="E22" s="10">
        <v>136.01432065514641</v>
      </c>
      <c r="F22" s="10">
        <v>160533.61143602588</v>
      </c>
      <c r="G22" s="10">
        <v>81.332506603743269</v>
      </c>
      <c r="H22" s="10">
        <v>397882.45358030545</v>
      </c>
      <c r="I22" s="11">
        <v>393295.58110602881</v>
      </c>
      <c r="J22" s="10">
        <v>5.6935348792494906</v>
      </c>
      <c r="K22" s="11">
        <v>28.805284485461936</v>
      </c>
      <c r="L22" s="11">
        <v>10.616391093289517</v>
      </c>
      <c r="M22" s="11">
        <v>425.613508200475</v>
      </c>
      <c r="N22" s="11">
        <v>2167.714331688373</v>
      </c>
      <c r="O22" s="10">
        <v>2160.8436316275188</v>
      </c>
      <c r="P22" s="10">
        <v>0.67106538786492975</v>
      </c>
      <c r="Q22" s="11">
        <v>4.3209644287076561</v>
      </c>
      <c r="R22" s="11">
        <v>8.0592439735130448</v>
      </c>
      <c r="S22" s="10">
        <v>7.8061872460109099</v>
      </c>
      <c r="T22" s="11">
        <v>117.14932021264771</v>
      </c>
      <c r="U22" s="10">
        <v>121.09510763067357</v>
      </c>
      <c r="V22" s="10">
        <v>27.555235641412455</v>
      </c>
      <c r="W22" s="10" t="s">
        <v>114</v>
      </c>
      <c r="X22" s="10">
        <v>0.1294565374231042</v>
      </c>
      <c r="Y22" s="11">
        <v>1641.8080984889889</v>
      </c>
      <c r="Z22" s="10">
        <v>4.1552428686217935</v>
      </c>
      <c r="AA22" s="10">
        <v>0.54725218894018346</v>
      </c>
      <c r="AB22" s="10" t="s">
        <v>114</v>
      </c>
      <c r="AC22" s="10">
        <v>8.9028453880248729E-2</v>
      </c>
      <c r="AD22" s="10" t="s">
        <v>114</v>
      </c>
      <c r="AE22" s="10">
        <v>0.97266730627341447</v>
      </c>
      <c r="AF22" s="10">
        <v>6.8127210997022758E-3</v>
      </c>
      <c r="AG22" s="11">
        <v>175.01602175701066</v>
      </c>
      <c r="AH22" s="11">
        <v>0.26129183847520332</v>
      </c>
      <c r="AI22" s="11">
        <v>0.49900719367861618</v>
      </c>
      <c r="AJ22" s="11">
        <v>3.8394244977275296E-2</v>
      </c>
      <c r="AK22" s="11">
        <v>0.19737914284089372</v>
      </c>
      <c r="AL22" s="11">
        <v>5.4102185443606308E-2</v>
      </c>
      <c r="AM22" s="11">
        <v>1.1689571525777747E-2</v>
      </c>
      <c r="AN22" s="11">
        <v>5.8944646744694337E-2</v>
      </c>
      <c r="AO22" s="11">
        <v>9.8219352393924333E-3</v>
      </c>
      <c r="AP22" s="11">
        <v>6.8693534096022454E-2</v>
      </c>
      <c r="AQ22" s="11">
        <v>1.836218864474037E-2</v>
      </c>
      <c r="AR22" s="11">
        <v>5.5555968817851013E-2</v>
      </c>
      <c r="AS22" s="11">
        <v>1.0358975446523548E-2</v>
      </c>
      <c r="AT22" s="11">
        <v>6.3565405174732359E-2</v>
      </c>
      <c r="AU22" s="11">
        <v>1.1583833506380745E-2</v>
      </c>
      <c r="AV22" s="10">
        <v>0.1842021223296999</v>
      </c>
      <c r="AW22" s="10" t="s">
        <v>114</v>
      </c>
      <c r="AX22" s="10">
        <v>2.1648768922017821E-3</v>
      </c>
      <c r="AY22" s="10">
        <v>1.1866882851239784E-2</v>
      </c>
      <c r="AZ22" s="10">
        <v>21.21079582676181</v>
      </c>
      <c r="BA22" s="10">
        <v>19.023744708225596</v>
      </c>
      <c r="BB22" s="11">
        <v>19.786996909442788</v>
      </c>
      <c r="BC22" s="11" t="s">
        <v>114</v>
      </c>
      <c r="BD22" s="11">
        <v>32.71281066191878</v>
      </c>
    </row>
    <row r="23" spans="1:56" x14ac:dyDescent="0.3">
      <c r="A23" t="s">
        <v>134</v>
      </c>
      <c r="B23" t="s">
        <v>62</v>
      </c>
      <c r="C23" s="10">
        <v>4144.5022899382848</v>
      </c>
      <c r="D23" s="11">
        <v>1526.207106831416</v>
      </c>
      <c r="E23" s="10">
        <v>450.60370912005556</v>
      </c>
      <c r="F23" s="10">
        <v>164256.51673075475</v>
      </c>
      <c r="G23" s="10">
        <v>216.62385503428561</v>
      </c>
      <c r="H23" s="10">
        <v>390513.40481013258</v>
      </c>
      <c r="I23" s="11">
        <v>384541.89529936673</v>
      </c>
      <c r="J23" s="10">
        <v>12.326257257203004</v>
      </c>
      <c r="K23" s="11">
        <v>19.443711908809952</v>
      </c>
      <c r="L23" s="11">
        <v>9.0152466866446233</v>
      </c>
      <c r="M23" s="11">
        <v>268.85567694680662</v>
      </c>
      <c r="N23" s="11">
        <v>4665.7515795163135</v>
      </c>
      <c r="O23" s="10">
        <v>4647.5045469030674</v>
      </c>
      <c r="P23" s="10">
        <v>0.83045472734178472</v>
      </c>
      <c r="Q23" s="11">
        <v>8.2063077801058473</v>
      </c>
      <c r="R23" s="11">
        <v>22.814502299692759</v>
      </c>
      <c r="S23" s="10">
        <v>22.681447192665082</v>
      </c>
      <c r="T23" s="11">
        <v>152.5281883718248</v>
      </c>
      <c r="U23" s="10">
        <v>148.76316583654543</v>
      </c>
      <c r="V23" s="10">
        <v>40.963650201295067</v>
      </c>
      <c r="W23" s="10">
        <v>16.400965517678365</v>
      </c>
      <c r="X23" s="10">
        <v>0.71673691229468395</v>
      </c>
      <c r="Y23" s="11">
        <v>1394.6061716173551</v>
      </c>
      <c r="Z23" s="10">
        <v>3.9357293501080539</v>
      </c>
      <c r="AA23" s="10" t="s">
        <v>114</v>
      </c>
      <c r="AB23" s="10" t="s">
        <v>114</v>
      </c>
      <c r="AC23" s="10">
        <v>0.1309390808456849</v>
      </c>
      <c r="AD23" s="10" t="s">
        <v>114</v>
      </c>
      <c r="AE23" s="10">
        <v>2.0374681190155535</v>
      </c>
      <c r="AF23" s="10">
        <v>1.9597952285607782E-2</v>
      </c>
      <c r="AG23" s="11">
        <v>86.505971849808375</v>
      </c>
      <c r="AH23" s="11">
        <v>1.5427064626019027</v>
      </c>
      <c r="AI23" s="11">
        <v>3.6731101157664732</v>
      </c>
      <c r="AJ23" s="11">
        <v>0.26558806717748823</v>
      </c>
      <c r="AK23" s="11">
        <v>1.2019983891486345</v>
      </c>
      <c r="AL23" s="11">
        <v>0.25736883166615759</v>
      </c>
      <c r="AM23" s="11">
        <v>6.5066554257363018E-2</v>
      </c>
      <c r="AN23" s="11">
        <v>0.33570728845739928</v>
      </c>
      <c r="AO23" s="11">
        <v>5.5556916984237641E-2</v>
      </c>
      <c r="AP23" s="11">
        <v>0.39546977200109451</v>
      </c>
      <c r="AQ23" s="11">
        <v>9.7585804813072011E-2</v>
      </c>
      <c r="AR23" s="11">
        <v>0.33087398641294685</v>
      </c>
      <c r="AS23" s="11">
        <v>4.7466141792642323E-2</v>
      </c>
      <c r="AT23" s="11">
        <v>0.34613580753210638</v>
      </c>
      <c r="AU23" s="11">
        <v>5.5600888648696306E-2</v>
      </c>
      <c r="AV23" s="10">
        <v>7.9212222127008361E-2</v>
      </c>
      <c r="AW23" s="10" t="s">
        <v>114</v>
      </c>
      <c r="AX23" s="10" t="s">
        <v>114</v>
      </c>
      <c r="AY23" s="10">
        <v>4.9924584242310256E-2</v>
      </c>
      <c r="AZ23" s="10">
        <v>20.061039785091189</v>
      </c>
      <c r="BA23" s="10">
        <v>18.024100843431356</v>
      </c>
      <c r="BB23" s="11">
        <v>18.747081633822379</v>
      </c>
      <c r="BC23" s="11" t="s">
        <v>114</v>
      </c>
      <c r="BD23" s="11">
        <v>48.888600309214176</v>
      </c>
    </row>
    <row r="24" spans="1:56" x14ac:dyDescent="0.3">
      <c r="A24" t="s">
        <v>135</v>
      </c>
      <c r="B24" t="s">
        <v>62</v>
      </c>
      <c r="C24" s="10">
        <v>4019.8656984048689</v>
      </c>
      <c r="D24" s="11">
        <v>1659.5963129079846</v>
      </c>
      <c r="E24" s="10">
        <v>32.906231824459589</v>
      </c>
      <c r="F24" s="10">
        <v>111777.15288458871</v>
      </c>
      <c r="G24" s="10">
        <v>137.86246742464138</v>
      </c>
      <c r="H24" s="10">
        <v>242052.38536964351</v>
      </c>
      <c r="I24" s="11">
        <v>233424.62347692676</v>
      </c>
      <c r="J24" s="10">
        <v>50.02441333969562</v>
      </c>
      <c r="K24" s="11" t="s">
        <v>114</v>
      </c>
      <c r="L24" s="11">
        <v>0.52556581012266201</v>
      </c>
      <c r="M24" s="11">
        <v>31.836024890011565</v>
      </c>
      <c r="N24" s="11">
        <v>41.481925531889573</v>
      </c>
      <c r="O24" s="10">
        <v>50.292172274532525</v>
      </c>
      <c r="P24" s="10">
        <v>0.13070500029883797</v>
      </c>
      <c r="Q24" s="11">
        <v>10.612498730158423</v>
      </c>
      <c r="R24" s="11">
        <v>2.2549041341882452</v>
      </c>
      <c r="S24" s="10">
        <v>2.2698620898518747</v>
      </c>
      <c r="T24" s="11">
        <v>186.73390415462001</v>
      </c>
      <c r="U24" s="10">
        <v>178.32569976347037</v>
      </c>
      <c r="V24" s="10" t="s">
        <v>114</v>
      </c>
      <c r="W24" s="10" t="s">
        <v>114</v>
      </c>
      <c r="X24" s="10" t="s">
        <v>114</v>
      </c>
      <c r="Y24" s="11">
        <v>75.678757175912736</v>
      </c>
      <c r="Z24" s="10">
        <v>0.46929628078860347</v>
      </c>
      <c r="AA24" s="10">
        <v>0.42235773908318081</v>
      </c>
      <c r="AB24" s="10" t="s">
        <v>114</v>
      </c>
      <c r="AC24" s="10" t="s">
        <v>114</v>
      </c>
      <c r="AD24" s="10">
        <v>0.28353578454221467</v>
      </c>
      <c r="AE24" s="10" t="s">
        <v>114</v>
      </c>
      <c r="AF24" s="10">
        <v>3.5037065951959824E-3</v>
      </c>
      <c r="AG24" s="11">
        <v>5.7068122938177144</v>
      </c>
      <c r="AH24" s="11">
        <v>0.2746571688670128</v>
      </c>
      <c r="AI24" s="11">
        <v>0.62998378529394872</v>
      </c>
      <c r="AJ24" s="11">
        <v>6.3658298543577962E-2</v>
      </c>
      <c r="AK24" s="11">
        <v>0.26692823470499283</v>
      </c>
      <c r="AL24" s="11">
        <v>5.0646837269484962E-2</v>
      </c>
      <c r="AM24" s="11">
        <v>1.0633026478424732E-2</v>
      </c>
      <c r="AN24" s="11">
        <v>5.1787721510487321E-2</v>
      </c>
      <c r="AO24" s="11">
        <v>8.8826443646764473E-3</v>
      </c>
      <c r="AP24" s="11">
        <v>4.3829696975049744E-2</v>
      </c>
      <c r="AQ24" s="11">
        <v>1.2038116589761096E-2</v>
      </c>
      <c r="AR24" s="11">
        <v>3.2364965455409046E-2</v>
      </c>
      <c r="AS24" s="11">
        <v>4.0731314227291145E-3</v>
      </c>
      <c r="AT24" s="11">
        <v>2.2767049864048299E-2</v>
      </c>
      <c r="AU24" s="11">
        <v>3.5026804227414384E-3</v>
      </c>
      <c r="AV24" s="10">
        <v>0.29702625444351721</v>
      </c>
      <c r="AW24" s="10">
        <v>1.8528012555009481</v>
      </c>
      <c r="AX24" s="10">
        <v>2.062722096983442E-3</v>
      </c>
      <c r="AY24" s="10" t="s">
        <v>114</v>
      </c>
      <c r="AZ24" s="10">
        <v>0.91939049081565005</v>
      </c>
      <c r="BA24" s="10">
        <v>0.78030953520297275</v>
      </c>
      <c r="BB24" s="11">
        <v>0.84301841742047068</v>
      </c>
      <c r="BC24" s="11">
        <v>0.25047619132709809</v>
      </c>
      <c r="BD24" s="11">
        <v>0.70149076614377837</v>
      </c>
    </row>
    <row r="25" spans="1:56" x14ac:dyDescent="0.3">
      <c r="A25" t="s">
        <v>136</v>
      </c>
      <c r="B25" t="s">
        <v>62</v>
      </c>
      <c r="C25" s="10">
        <v>4588.2925846733842</v>
      </c>
      <c r="D25" s="11">
        <v>2108.1652837243278</v>
      </c>
      <c r="E25" s="10">
        <v>17.846370934804277</v>
      </c>
      <c r="F25" s="10">
        <v>113258.68728262474</v>
      </c>
      <c r="G25" s="10">
        <v>141.70476208872432</v>
      </c>
      <c r="H25" s="10">
        <v>244037.99941627425</v>
      </c>
      <c r="I25" s="11">
        <v>235226.85732100956</v>
      </c>
      <c r="J25" s="10">
        <v>51.014157458490246</v>
      </c>
      <c r="K25" s="11">
        <v>0.2115254470668638</v>
      </c>
      <c r="L25" s="11">
        <v>0.2716203070299561</v>
      </c>
      <c r="M25" s="11">
        <v>8.283598442091046</v>
      </c>
      <c r="N25" s="11">
        <v>18.34562005216625</v>
      </c>
      <c r="O25" s="10">
        <v>24.9669984240297</v>
      </c>
      <c r="P25" s="10">
        <v>9.4065905251730461E-2</v>
      </c>
      <c r="Q25" s="11">
        <v>3.1105502947330366</v>
      </c>
      <c r="R25" s="11">
        <v>0.37228603294676521</v>
      </c>
      <c r="S25" s="10">
        <v>0.39241648873643348</v>
      </c>
      <c r="T25" s="11">
        <v>53.357280764165381</v>
      </c>
      <c r="U25" s="10">
        <v>51.139311254895453</v>
      </c>
      <c r="V25" s="10">
        <v>0.77350131900033492</v>
      </c>
      <c r="W25" s="10" t="s">
        <v>114</v>
      </c>
      <c r="X25" s="10" t="s">
        <v>114</v>
      </c>
      <c r="Y25" s="11">
        <v>101.34063036088155</v>
      </c>
      <c r="Z25" s="10">
        <v>0.17679401053036342</v>
      </c>
      <c r="AA25" s="10" t="s">
        <v>114</v>
      </c>
      <c r="AB25" s="10" t="s">
        <v>114</v>
      </c>
      <c r="AC25" s="10" t="s">
        <v>114</v>
      </c>
      <c r="AD25" s="10" t="s">
        <v>114</v>
      </c>
      <c r="AE25" s="10" t="s">
        <v>114</v>
      </c>
      <c r="AF25" s="10">
        <v>1.8555425923341934E-3</v>
      </c>
      <c r="AG25" s="11">
        <v>2.5973688350783717</v>
      </c>
      <c r="AH25" s="11">
        <v>9.6066007523117433E-2</v>
      </c>
      <c r="AI25" s="11">
        <v>0.22125068553767088</v>
      </c>
      <c r="AJ25" s="11">
        <v>2.1840533899851071E-2</v>
      </c>
      <c r="AK25" s="11">
        <v>0.10545835784755395</v>
      </c>
      <c r="AL25" s="11">
        <v>1.869672744024849E-2</v>
      </c>
      <c r="AM25" s="11">
        <v>4.3761276649472375E-3</v>
      </c>
      <c r="AN25" s="11">
        <v>1.7794939821134774E-2</v>
      </c>
      <c r="AO25" s="11">
        <v>3.9922892917963705E-3</v>
      </c>
      <c r="AP25" s="11">
        <v>2.1120612207677417E-2</v>
      </c>
      <c r="AQ25" s="11">
        <v>4.2422637224024924E-3</v>
      </c>
      <c r="AR25" s="11">
        <v>7.0503815295100336E-3</v>
      </c>
      <c r="AS25" s="11" t="s">
        <v>114</v>
      </c>
      <c r="AT25" s="11">
        <v>6.3605087294952792E-3</v>
      </c>
      <c r="AU25" s="11" t="s">
        <v>114</v>
      </c>
      <c r="AV25" s="10">
        <v>0.14825520629187816</v>
      </c>
      <c r="AW25" s="10">
        <v>1.0968411159754479</v>
      </c>
      <c r="AX25" s="10" t="s">
        <v>114</v>
      </c>
      <c r="AY25" s="10" t="s">
        <v>114</v>
      </c>
      <c r="AZ25" s="10">
        <v>0.62077329260975911</v>
      </c>
      <c r="BA25" s="10">
        <v>0.53371435484226759</v>
      </c>
      <c r="BB25" s="11">
        <v>0.56148821299850815</v>
      </c>
      <c r="BC25" s="11">
        <v>0.11968921962859798</v>
      </c>
      <c r="BD25" s="11">
        <v>0.12405073378477337</v>
      </c>
    </row>
    <row r="26" spans="1:56" x14ac:dyDescent="0.3">
      <c r="A26" t="s">
        <v>137</v>
      </c>
      <c r="B26" t="s">
        <v>62</v>
      </c>
      <c r="C26" s="10">
        <v>4046.4464136664869</v>
      </c>
      <c r="D26" s="11">
        <v>1459.5496793567709</v>
      </c>
      <c r="E26" s="10">
        <v>127.63294668446595</v>
      </c>
      <c r="F26" s="10">
        <v>162048.31141495178</v>
      </c>
      <c r="G26" s="10">
        <v>90.593972853710198</v>
      </c>
      <c r="H26" s="10">
        <v>384174.95447353652</v>
      </c>
      <c r="I26" s="11">
        <v>376880.51521657303</v>
      </c>
      <c r="J26" s="10">
        <v>5.2753191830887198</v>
      </c>
      <c r="K26" s="11">
        <v>15.378924838621376</v>
      </c>
      <c r="L26" s="11">
        <v>1.6502025854577385</v>
      </c>
      <c r="M26" s="11">
        <v>167.13171884380165</v>
      </c>
      <c r="N26" s="11">
        <v>562.17218343326067</v>
      </c>
      <c r="O26" s="10">
        <v>573.25050910269488</v>
      </c>
      <c r="P26" s="10">
        <v>1.1899823464649089</v>
      </c>
      <c r="Q26" s="11">
        <v>8.6703456489642967</v>
      </c>
      <c r="R26" s="11">
        <v>16.637988204357221</v>
      </c>
      <c r="S26" s="10">
        <v>16.636681441524107</v>
      </c>
      <c r="T26" s="11">
        <v>175.97507131295455</v>
      </c>
      <c r="U26" s="10">
        <v>170.41614468894934</v>
      </c>
      <c r="V26" s="10">
        <v>41.944271703122133</v>
      </c>
      <c r="W26" s="10" t="s">
        <v>114</v>
      </c>
      <c r="X26" s="10">
        <v>0.19110351383564556</v>
      </c>
      <c r="Y26" s="11">
        <v>1142.4496585723255</v>
      </c>
      <c r="Z26" s="10">
        <v>3.8088105838423205</v>
      </c>
      <c r="AA26" s="10">
        <v>0.98249955517251852</v>
      </c>
      <c r="AB26" s="10">
        <v>0.95468027976044945</v>
      </c>
      <c r="AC26" s="10">
        <v>0.23570948041805845</v>
      </c>
      <c r="AD26" s="10" t="s">
        <v>114</v>
      </c>
      <c r="AE26" s="10">
        <v>0.76248771192084697</v>
      </c>
      <c r="AF26" s="10">
        <v>4.4312739542379945E-3</v>
      </c>
      <c r="AG26" s="11">
        <v>71.721447273633586</v>
      </c>
      <c r="AH26" s="11">
        <v>1.7456754975526567</v>
      </c>
      <c r="AI26" s="11">
        <v>3.0322599614749826</v>
      </c>
      <c r="AJ26" s="11">
        <v>0.27280727898896145</v>
      </c>
      <c r="AK26" s="11">
        <v>1.1856865376427574</v>
      </c>
      <c r="AL26" s="11">
        <v>0.27536096216880523</v>
      </c>
      <c r="AM26" s="11">
        <v>6.7016955286515814E-2</v>
      </c>
      <c r="AN26" s="11">
        <v>0.33405242512365363</v>
      </c>
      <c r="AO26" s="11">
        <v>5.6962178142416366E-2</v>
      </c>
      <c r="AP26" s="11">
        <v>0.46860921194417698</v>
      </c>
      <c r="AQ26" s="11">
        <v>0.10214050314031135</v>
      </c>
      <c r="AR26" s="11">
        <v>0.35070452269459457</v>
      </c>
      <c r="AS26" s="11">
        <v>5.1578479248872502E-2</v>
      </c>
      <c r="AT26" s="11">
        <v>0.33911382819205382</v>
      </c>
      <c r="AU26" s="11">
        <v>5.4918429730674907E-2</v>
      </c>
      <c r="AV26" s="10" t="s">
        <v>114</v>
      </c>
      <c r="AW26" s="10" t="s">
        <v>114</v>
      </c>
      <c r="AX26" s="10">
        <v>2.488797496839253E-3</v>
      </c>
      <c r="AY26" s="10">
        <v>1.1680232039014301E-2</v>
      </c>
      <c r="AZ26" s="10">
        <v>20.117014970651233</v>
      </c>
      <c r="BA26" s="10">
        <v>18.057125826708017</v>
      </c>
      <c r="BB26" s="11">
        <v>18.779273445064263</v>
      </c>
      <c r="BC26" s="11" t="s">
        <v>114</v>
      </c>
      <c r="BD26" s="11">
        <v>18.08863652128165</v>
      </c>
    </row>
    <row r="27" spans="1:56" x14ac:dyDescent="0.3">
      <c r="A27" t="s">
        <v>138</v>
      </c>
      <c r="B27" t="s">
        <v>62</v>
      </c>
      <c r="C27" s="10">
        <v>6089.7377625969357</v>
      </c>
      <c r="D27" s="11">
        <v>2042.1173036608579</v>
      </c>
      <c r="E27" s="10">
        <v>141.99829052244203</v>
      </c>
      <c r="F27" s="10">
        <v>157012.98663352014</v>
      </c>
      <c r="G27" s="10">
        <v>102.53102340133569</v>
      </c>
      <c r="H27" s="10">
        <v>385917.47259133623</v>
      </c>
      <c r="I27" s="11">
        <v>383553.64384886931</v>
      </c>
      <c r="J27" s="10">
        <v>9.8002596588810729</v>
      </c>
      <c r="K27" s="11">
        <v>7.6352582992073668</v>
      </c>
      <c r="L27" s="11">
        <v>17.305663840338003</v>
      </c>
      <c r="M27" s="11">
        <v>364.10933477812648</v>
      </c>
      <c r="N27" s="11">
        <v>216.94248538898967</v>
      </c>
      <c r="O27" s="10">
        <v>226.88138416463008</v>
      </c>
      <c r="P27" s="10">
        <v>1.229105360711316</v>
      </c>
      <c r="Q27" s="11">
        <v>18.700598432553395</v>
      </c>
      <c r="R27" s="11">
        <v>29.295626709388877</v>
      </c>
      <c r="S27" s="10">
        <v>28.906042102461871</v>
      </c>
      <c r="T27" s="11">
        <v>130.75492409091279</v>
      </c>
      <c r="U27" s="10">
        <v>134.68175752484589</v>
      </c>
      <c r="V27" s="10">
        <v>9.4006344469604262</v>
      </c>
      <c r="W27" s="10" t="s">
        <v>114</v>
      </c>
      <c r="X27" s="10">
        <v>0.15623927664954837</v>
      </c>
      <c r="Y27" s="11">
        <v>2235.1274317562784</v>
      </c>
      <c r="Z27" s="10">
        <v>6.6978629914619257</v>
      </c>
      <c r="AA27" s="10" t="s">
        <v>114</v>
      </c>
      <c r="AB27" s="10" t="s">
        <v>114</v>
      </c>
      <c r="AC27" s="10">
        <v>0.83480644626828571</v>
      </c>
      <c r="AD27" s="10" t="s">
        <v>114</v>
      </c>
      <c r="AE27" s="10">
        <v>0.7826250647221501</v>
      </c>
      <c r="AF27" s="10">
        <v>6.7495280043398708E-3</v>
      </c>
      <c r="AG27" s="11">
        <v>131.81525378359223</v>
      </c>
      <c r="AH27" s="11">
        <v>0.42367168240936959</v>
      </c>
      <c r="AI27" s="11">
        <v>0.71016305811610803</v>
      </c>
      <c r="AJ27" s="11">
        <v>5.4732877217421927E-2</v>
      </c>
      <c r="AK27" s="11">
        <v>0.23754229597507495</v>
      </c>
      <c r="AL27" s="11">
        <v>5.9208341269519793E-2</v>
      </c>
      <c r="AM27" s="11">
        <v>1.1973433688974118E-2</v>
      </c>
      <c r="AN27" s="11">
        <v>7.9787744950118325E-2</v>
      </c>
      <c r="AO27" s="11">
        <v>1.410106174462125E-2</v>
      </c>
      <c r="AP27" s="11">
        <v>0.10757903343477279</v>
      </c>
      <c r="AQ27" s="11">
        <v>3.2578432796440765E-2</v>
      </c>
      <c r="AR27" s="11">
        <v>0.12078621231729651</v>
      </c>
      <c r="AS27" s="11">
        <v>2.2445056101042814E-2</v>
      </c>
      <c r="AT27" s="11">
        <v>0.15794863422338043</v>
      </c>
      <c r="AU27" s="11">
        <v>2.9479499687437336E-2</v>
      </c>
      <c r="AV27" s="10">
        <v>0.13136951883495337</v>
      </c>
      <c r="AW27" s="10" t="s">
        <v>114</v>
      </c>
      <c r="AX27" s="10" t="s">
        <v>114</v>
      </c>
      <c r="AY27" s="10" t="s">
        <v>114</v>
      </c>
      <c r="AZ27" s="10">
        <v>30.919124194217694</v>
      </c>
      <c r="BA27" s="10">
        <v>27.773104991570683</v>
      </c>
      <c r="BB27" s="11">
        <v>28.875488393864206</v>
      </c>
      <c r="BC27" s="11" t="s">
        <v>114</v>
      </c>
      <c r="BD27" s="11">
        <v>46.419793625495885</v>
      </c>
    </row>
    <row r="28" spans="1:56" x14ac:dyDescent="0.3">
      <c r="A28" t="s">
        <v>139</v>
      </c>
      <c r="B28" t="s">
        <v>62</v>
      </c>
      <c r="C28" s="10">
        <v>4701.9077375992256</v>
      </c>
      <c r="D28" s="11">
        <v>2070.191730776593</v>
      </c>
      <c r="E28" s="10">
        <v>102.32594721387782</v>
      </c>
      <c r="F28" s="10">
        <v>140411.40897213898</v>
      </c>
      <c r="G28" s="10">
        <v>141.6997767188229</v>
      </c>
      <c r="H28" s="10">
        <v>306630.22498409747</v>
      </c>
      <c r="I28" s="11">
        <v>296370.02207330358</v>
      </c>
      <c r="J28" s="10">
        <v>93.368359810764332</v>
      </c>
      <c r="K28" s="11">
        <v>0.27229997852045046</v>
      </c>
      <c r="L28" s="11">
        <v>0.7091494236480117</v>
      </c>
      <c r="M28" s="11">
        <v>25.141608277525823</v>
      </c>
      <c r="N28" s="11">
        <v>64.471215027113985</v>
      </c>
      <c r="O28" s="10">
        <v>75.254486745540859</v>
      </c>
      <c r="P28" s="10">
        <v>6.3935460363353291E-2</v>
      </c>
      <c r="Q28" s="11">
        <v>5.2846710058027551</v>
      </c>
      <c r="R28" s="11">
        <v>1.0947361851571218</v>
      </c>
      <c r="S28" s="10">
        <v>1.0129007282953026</v>
      </c>
      <c r="T28" s="11">
        <v>223.9884677383902</v>
      </c>
      <c r="U28" s="10">
        <v>215.58024051236933</v>
      </c>
      <c r="V28" s="10" t="s">
        <v>114</v>
      </c>
      <c r="W28" s="10" t="s">
        <v>114</v>
      </c>
      <c r="X28" s="10">
        <v>0.1864644805718354</v>
      </c>
      <c r="Y28" s="11">
        <v>181.34961367758876</v>
      </c>
      <c r="Z28" s="10">
        <v>0.30792698062124396</v>
      </c>
      <c r="AA28" s="10" t="s">
        <v>114</v>
      </c>
      <c r="AB28" s="10" t="s">
        <v>114</v>
      </c>
      <c r="AC28" s="10" t="s">
        <v>114</v>
      </c>
      <c r="AD28" s="10" t="s">
        <v>114</v>
      </c>
      <c r="AE28" s="10" t="s">
        <v>114</v>
      </c>
      <c r="AF28" s="10">
        <v>5.2668965797948841E-3</v>
      </c>
      <c r="AG28" s="11">
        <v>10.50391209772363</v>
      </c>
      <c r="AH28" s="11">
        <v>0.68974548561667193</v>
      </c>
      <c r="AI28" s="11">
        <v>1.5601373870870523</v>
      </c>
      <c r="AJ28" s="11">
        <v>0.15542498451121237</v>
      </c>
      <c r="AK28" s="11">
        <v>0.63476751697994482</v>
      </c>
      <c r="AL28" s="11">
        <v>0.14391916709711783</v>
      </c>
      <c r="AM28" s="11">
        <v>3.2636110640894563E-2</v>
      </c>
      <c r="AN28" s="11">
        <v>0.1480259663902897</v>
      </c>
      <c r="AO28" s="11">
        <v>1.9055695397397349E-2</v>
      </c>
      <c r="AP28" s="11">
        <v>0.13020897227555364</v>
      </c>
      <c r="AQ28" s="11">
        <v>2.4466550156650002E-2</v>
      </c>
      <c r="AR28" s="11">
        <v>8.0183383507639983E-2</v>
      </c>
      <c r="AS28" s="11">
        <v>1.0695045242594608E-2</v>
      </c>
      <c r="AT28" s="11">
        <v>7.2500144631614263E-2</v>
      </c>
      <c r="AU28" s="11">
        <v>9.678510538354182E-3</v>
      </c>
      <c r="AV28" s="10">
        <v>0.25443605401688962</v>
      </c>
      <c r="AW28" s="10">
        <v>1.5669122801656499</v>
      </c>
      <c r="AX28" s="10" t="s">
        <v>114</v>
      </c>
      <c r="AY28" s="10" t="s">
        <v>114</v>
      </c>
      <c r="AZ28" s="10">
        <v>7.2414307734246686</v>
      </c>
      <c r="BA28" s="10">
        <v>6.6094195693976721</v>
      </c>
      <c r="BB28" s="11">
        <v>6.8514317138396637</v>
      </c>
      <c r="BC28" s="11">
        <v>0.1848890012146191</v>
      </c>
      <c r="BD28" s="11">
        <v>0.38387723741260882</v>
      </c>
    </row>
    <row r="29" spans="1:56" x14ac:dyDescent="0.3">
      <c r="A29" t="s">
        <v>140</v>
      </c>
      <c r="B29" t="s">
        <v>62</v>
      </c>
      <c r="C29" s="10">
        <v>4968.9102998811122</v>
      </c>
      <c r="D29" s="11">
        <v>1344.5799117883878</v>
      </c>
      <c r="E29" s="10">
        <v>47.986090873900537</v>
      </c>
      <c r="F29" s="10">
        <v>112689.72535475253</v>
      </c>
      <c r="G29" s="10" t="s">
        <v>114</v>
      </c>
      <c r="H29" s="10">
        <v>278481.70482128096</v>
      </c>
      <c r="I29" s="11">
        <v>273736.30092012038</v>
      </c>
      <c r="J29" s="10">
        <v>6.7113244046589147</v>
      </c>
      <c r="K29" s="11">
        <v>17.710161703933363</v>
      </c>
      <c r="L29" s="11">
        <v>3.2246379423477967</v>
      </c>
      <c r="M29" s="11">
        <v>122.21758071776971</v>
      </c>
      <c r="N29" s="11">
        <v>3077.9655461602383</v>
      </c>
      <c r="O29" s="10">
        <v>3043.6210256584995</v>
      </c>
      <c r="P29" s="10">
        <v>0.22528849060505415</v>
      </c>
      <c r="Q29" s="11">
        <v>11.955991096024603</v>
      </c>
      <c r="R29" s="11">
        <v>17.330258997276822</v>
      </c>
      <c r="S29" s="10">
        <v>17.209552344261148</v>
      </c>
      <c r="T29" s="11">
        <v>68.451028504937042</v>
      </c>
      <c r="U29" s="10">
        <v>72.746028374148125</v>
      </c>
      <c r="V29" s="10">
        <v>39.479649742971446</v>
      </c>
      <c r="W29" s="10" t="s">
        <v>114</v>
      </c>
      <c r="X29" s="10" t="s">
        <v>114</v>
      </c>
      <c r="Y29" s="11">
        <v>1161.2448121383964</v>
      </c>
      <c r="Z29" s="10">
        <v>4.4480561872840116</v>
      </c>
      <c r="AA29" s="10" t="s">
        <v>114</v>
      </c>
      <c r="AB29" s="10" t="s">
        <v>114</v>
      </c>
      <c r="AC29" s="10">
        <v>1.0030634130270646</v>
      </c>
      <c r="AD29" s="10" t="s">
        <v>114</v>
      </c>
      <c r="AE29" s="10">
        <v>3.3566125471067507</v>
      </c>
      <c r="AF29" s="10">
        <v>2.1413756443846529E-3</v>
      </c>
      <c r="AG29" s="11">
        <v>115.11657521583403</v>
      </c>
      <c r="AH29" s="11">
        <v>0.14598666631691629</v>
      </c>
      <c r="AI29" s="11">
        <v>0.239262236573098</v>
      </c>
      <c r="AJ29" s="11">
        <v>2.3844779296785225E-2</v>
      </c>
      <c r="AK29" s="11">
        <v>0.1187366397682085</v>
      </c>
      <c r="AL29" s="11">
        <v>1.9865688735636617E-2</v>
      </c>
      <c r="AM29" s="11">
        <v>8.9744921989662468E-3</v>
      </c>
      <c r="AN29" s="11">
        <v>2.7235295958337929E-2</v>
      </c>
      <c r="AO29" s="11">
        <v>7.1313230708785393E-3</v>
      </c>
      <c r="AP29" s="11">
        <v>4.428635175056498E-2</v>
      </c>
      <c r="AQ29" s="11">
        <v>1.0444159648215788E-2</v>
      </c>
      <c r="AR29" s="11">
        <v>5.0177329896955773E-2</v>
      </c>
      <c r="AS29" s="11">
        <v>8.265244411741866E-3</v>
      </c>
      <c r="AT29" s="11">
        <v>5.2068174053583584E-2</v>
      </c>
      <c r="AU29" s="11">
        <v>9.2325808475599239E-3</v>
      </c>
      <c r="AV29" s="10">
        <v>6.5917871886398624E-2</v>
      </c>
      <c r="AW29" s="10" t="s">
        <v>114</v>
      </c>
      <c r="AX29" s="10" t="s">
        <v>114</v>
      </c>
      <c r="AY29" s="10">
        <v>5.2541538738503507E-3</v>
      </c>
      <c r="AZ29" s="10">
        <v>6.6504621390124976</v>
      </c>
      <c r="BA29" s="10">
        <v>6.0030766411198568</v>
      </c>
      <c r="BB29" s="11">
        <v>6.2419340486050583</v>
      </c>
      <c r="BC29" s="11" t="s">
        <v>114</v>
      </c>
      <c r="BD29" s="11">
        <v>60.884167251326772</v>
      </c>
    </row>
    <row r="30" spans="1:56" x14ac:dyDescent="0.3">
      <c r="A30" t="s">
        <v>141</v>
      </c>
      <c r="B30" t="s">
        <v>62</v>
      </c>
      <c r="C30" s="10">
        <v>7940.2974081257171</v>
      </c>
      <c r="D30" s="11">
        <v>3431.4766123554873</v>
      </c>
      <c r="E30" s="10">
        <v>63.182420322502658</v>
      </c>
      <c r="F30" s="10">
        <v>171971.3949591913</v>
      </c>
      <c r="G30" s="10">
        <v>233.91380234116022</v>
      </c>
      <c r="H30" s="10">
        <v>376757.58550300088</v>
      </c>
      <c r="I30" s="11">
        <v>360859.11150732939</v>
      </c>
      <c r="J30" s="10">
        <v>82.379387160429786</v>
      </c>
      <c r="K30" s="11">
        <v>0.3939813787001758</v>
      </c>
      <c r="L30" s="11">
        <v>0.61962425093917473</v>
      </c>
      <c r="M30" s="11">
        <v>8.0393981486163781</v>
      </c>
      <c r="N30" s="11">
        <v>62.66745048201625</v>
      </c>
      <c r="O30" s="10">
        <v>75.628033019695636</v>
      </c>
      <c r="P30" s="10">
        <v>0.19144049128718577</v>
      </c>
      <c r="Q30" s="11">
        <v>194.05456079724632</v>
      </c>
      <c r="R30" s="11">
        <v>81.599662386965704</v>
      </c>
      <c r="S30" s="10">
        <v>81.654092148799492</v>
      </c>
      <c r="T30" s="11">
        <v>67.632276890320185</v>
      </c>
      <c r="U30" s="10">
        <v>64.09518096306698</v>
      </c>
      <c r="V30" s="10" t="s">
        <v>114</v>
      </c>
      <c r="W30" s="10" t="s">
        <v>114</v>
      </c>
      <c r="X30" s="10">
        <v>0.14229216319673174</v>
      </c>
      <c r="Y30" s="11">
        <v>119.43979072078946</v>
      </c>
      <c r="Z30" s="10">
        <v>0.25439552546054456</v>
      </c>
      <c r="AA30" s="10" t="s">
        <v>114</v>
      </c>
      <c r="AB30" s="10" t="s">
        <v>114</v>
      </c>
      <c r="AC30" s="10" t="s">
        <v>114</v>
      </c>
      <c r="AD30" s="10">
        <v>1.1601440445173905</v>
      </c>
      <c r="AE30" s="10">
        <v>4.8088803149170439E-2</v>
      </c>
      <c r="AF30" s="10">
        <v>4.912305452825224E-3</v>
      </c>
      <c r="AG30" s="11">
        <v>3.9842306995440402</v>
      </c>
      <c r="AH30" s="11">
        <v>0.36258653071774166</v>
      </c>
      <c r="AI30" s="11">
        <v>0.95340724676073996</v>
      </c>
      <c r="AJ30" s="11">
        <v>8.0537763610332339E-2</v>
      </c>
      <c r="AK30" s="11">
        <v>0.33306988194015669</v>
      </c>
      <c r="AL30" s="11">
        <v>7.9225185788663707E-2</v>
      </c>
      <c r="AM30" s="11">
        <v>1.6316510214993748E-2</v>
      </c>
      <c r="AN30" s="11">
        <v>8.7398799322885121E-2</v>
      </c>
      <c r="AO30" s="11">
        <v>1.3805674898007013E-2</v>
      </c>
      <c r="AP30" s="11">
        <v>8.2326665088827328E-2</v>
      </c>
      <c r="AQ30" s="11">
        <v>1.9529197312716566E-2</v>
      </c>
      <c r="AR30" s="11">
        <v>5.0694940263676103E-2</v>
      </c>
      <c r="AS30" s="11">
        <v>6.1666244673850186E-3</v>
      </c>
      <c r="AT30" s="11">
        <v>4.9783232960962903E-2</v>
      </c>
      <c r="AU30" s="11">
        <v>8.8697125757825415E-3</v>
      </c>
      <c r="AV30" s="10">
        <v>0.1888420553966291</v>
      </c>
      <c r="AW30" s="10">
        <v>1.4699918225310715</v>
      </c>
      <c r="AX30" s="10" t="s">
        <v>114</v>
      </c>
      <c r="AY30" s="10" t="s">
        <v>114</v>
      </c>
      <c r="AZ30" s="10">
        <v>2.5099869910865595</v>
      </c>
      <c r="BA30" s="10">
        <v>2.2633646809944969</v>
      </c>
      <c r="BB30" s="11">
        <v>2.3676682452080633</v>
      </c>
      <c r="BC30" s="11">
        <v>0.12968600327330793</v>
      </c>
      <c r="BD30" s="11">
        <v>0.37459900866974533</v>
      </c>
    </row>
    <row r="31" spans="1:56" x14ac:dyDescent="0.3">
      <c r="A31" t="s">
        <v>142</v>
      </c>
      <c r="B31" t="s">
        <v>62</v>
      </c>
      <c r="C31" s="10">
        <v>5744.5860333932351</v>
      </c>
      <c r="D31" s="11">
        <v>2575.615869107557</v>
      </c>
      <c r="E31" s="10">
        <v>382.06432829149952</v>
      </c>
      <c r="F31" s="10">
        <v>162051.18450428065</v>
      </c>
      <c r="G31" s="10">
        <v>96.447631045427201</v>
      </c>
      <c r="H31" s="10">
        <v>404435.09570339642</v>
      </c>
      <c r="I31" s="11">
        <v>398607.21952801041</v>
      </c>
      <c r="J31" s="10">
        <v>10.725783777077169</v>
      </c>
      <c r="K31" s="11">
        <v>92.584834140823617</v>
      </c>
      <c r="L31" s="11">
        <v>11.790701129449147</v>
      </c>
      <c r="M31" s="11">
        <v>282.30006768439659</v>
      </c>
      <c r="N31" s="11">
        <v>14871.492214892451</v>
      </c>
      <c r="O31" s="10">
        <v>14448.395043300929</v>
      </c>
      <c r="P31" s="10">
        <v>2.4372410278762064</v>
      </c>
      <c r="Q31" s="11">
        <v>26.547331230704735</v>
      </c>
      <c r="R31" s="11">
        <v>30.797331700157283</v>
      </c>
      <c r="S31" s="10">
        <v>30.928184423552892</v>
      </c>
      <c r="T31" s="11">
        <v>144.63554439087594</v>
      </c>
      <c r="U31" s="10">
        <v>144.89525567243936</v>
      </c>
      <c r="V31" s="10">
        <v>117.70810324378188</v>
      </c>
      <c r="W31" s="10" t="s">
        <v>114</v>
      </c>
      <c r="X31" s="10">
        <v>0.18961575690265395</v>
      </c>
      <c r="Y31" s="11">
        <v>1569.4824923851563</v>
      </c>
      <c r="Z31" s="10">
        <v>5.4359288669933363</v>
      </c>
      <c r="AA31" s="10">
        <v>0.86806158854677873</v>
      </c>
      <c r="AB31" s="10">
        <v>0.86753957928172931</v>
      </c>
      <c r="AC31" s="10">
        <v>1.1829543359906076</v>
      </c>
      <c r="AD31" s="10" t="s">
        <v>114</v>
      </c>
      <c r="AE31" s="10">
        <v>4.0235953264341067</v>
      </c>
      <c r="AF31" s="10">
        <v>6.1207652638623064E-3</v>
      </c>
      <c r="AG31" s="11">
        <v>102.32877917007654</v>
      </c>
      <c r="AH31" s="11">
        <v>0.48113969369720011</v>
      </c>
      <c r="AI31" s="11">
        <v>1.1449525741745592</v>
      </c>
      <c r="AJ31" s="11">
        <v>8.3333763030456268E-2</v>
      </c>
      <c r="AK31" s="11">
        <v>0.32838382216248391</v>
      </c>
      <c r="AL31" s="11">
        <v>0.10170750556830739</v>
      </c>
      <c r="AM31" s="11">
        <v>2.3653511725665762E-2</v>
      </c>
      <c r="AN31" s="11">
        <v>9.00059200182345E-2</v>
      </c>
      <c r="AO31" s="11">
        <v>1.9302147365602443E-2</v>
      </c>
      <c r="AP31" s="11">
        <v>0.14233390924443762</v>
      </c>
      <c r="AQ31" s="11">
        <v>3.3097353410688084E-2</v>
      </c>
      <c r="AR31" s="11">
        <v>0.13609842724618626</v>
      </c>
      <c r="AS31" s="11">
        <v>2.0785555056690008E-2</v>
      </c>
      <c r="AT31" s="11">
        <v>0.16180431010825963</v>
      </c>
      <c r="AU31" s="11">
        <v>2.7373144613046636E-2</v>
      </c>
      <c r="AV31" s="10">
        <v>0.12463669806412078</v>
      </c>
      <c r="AW31" s="10" t="s">
        <v>114</v>
      </c>
      <c r="AX31" s="10" t="s">
        <v>114</v>
      </c>
      <c r="AY31" s="10">
        <v>1.190410466282881E-2</v>
      </c>
      <c r="AZ31" s="10">
        <v>13.40915360565304</v>
      </c>
      <c r="BA31" s="10">
        <v>12.14430064177744</v>
      </c>
      <c r="BB31" s="11">
        <v>12.541573210181888</v>
      </c>
      <c r="BC31" s="11" t="s">
        <v>114</v>
      </c>
      <c r="BD31" s="11">
        <v>40.245924695376999</v>
      </c>
    </row>
    <row r="32" spans="1:56" x14ac:dyDescent="0.3">
      <c r="A32" t="s">
        <v>143</v>
      </c>
      <c r="B32" t="s">
        <v>62</v>
      </c>
      <c r="C32" s="10">
        <v>6291.3716876534972</v>
      </c>
      <c r="D32" s="11">
        <v>2484.5651885329876</v>
      </c>
      <c r="E32" s="10">
        <v>18.276183241410774</v>
      </c>
      <c r="F32" s="10">
        <v>171437.40382984283</v>
      </c>
      <c r="G32" s="10">
        <v>180.80310527477837</v>
      </c>
      <c r="H32" s="10">
        <v>371916.76927873067</v>
      </c>
      <c r="I32" s="11">
        <v>357793.53424312046</v>
      </c>
      <c r="J32" s="10">
        <v>8.9423142620657341</v>
      </c>
      <c r="K32" s="11">
        <v>0.68800760874809275</v>
      </c>
      <c r="L32" s="11">
        <v>1.9203519623486607</v>
      </c>
      <c r="M32" s="11">
        <v>39.206552315094171</v>
      </c>
      <c r="N32" s="11">
        <v>57.830142414878061</v>
      </c>
      <c r="O32" s="10">
        <v>71.064529854522092</v>
      </c>
      <c r="P32" s="10">
        <v>0.28384691187818994</v>
      </c>
      <c r="Q32" s="11">
        <v>2.1357805878852933</v>
      </c>
      <c r="R32" s="11">
        <v>8.57797443536999</v>
      </c>
      <c r="S32" s="10">
        <v>8.5086760688758201</v>
      </c>
      <c r="T32" s="11">
        <v>233.54822327836166</v>
      </c>
      <c r="U32" s="10">
        <v>223.33007413079434</v>
      </c>
      <c r="V32" s="10">
        <v>2.1515561997062531</v>
      </c>
      <c r="W32" s="10" t="s">
        <v>114</v>
      </c>
      <c r="X32" s="10" t="s">
        <v>114</v>
      </c>
      <c r="Y32" s="11">
        <v>271.42532699931422</v>
      </c>
      <c r="Z32" s="10">
        <v>0.20144992925536909</v>
      </c>
      <c r="AA32" s="10" t="s">
        <v>114</v>
      </c>
      <c r="AB32" s="10" t="s">
        <v>114</v>
      </c>
      <c r="AC32" s="10" t="s">
        <v>114</v>
      </c>
      <c r="AD32" s="10" t="s">
        <v>114</v>
      </c>
      <c r="AE32" s="10">
        <v>5.1138731349922771E-2</v>
      </c>
      <c r="AF32" s="10">
        <v>3.4885346445879535E-3</v>
      </c>
      <c r="AG32" s="11">
        <v>7.0006759835272634</v>
      </c>
      <c r="AH32" s="11">
        <v>0.39950794224963448</v>
      </c>
      <c r="AI32" s="11">
        <v>0.84948623729657802</v>
      </c>
      <c r="AJ32" s="11">
        <v>9.1683716074075369E-2</v>
      </c>
      <c r="AK32" s="11">
        <v>0.40592719596004689</v>
      </c>
      <c r="AL32" s="11">
        <v>8.5985916084681452E-2</v>
      </c>
      <c r="AM32" s="11">
        <v>2.6597010280890898E-2</v>
      </c>
      <c r="AN32" s="11">
        <v>0.11634542214157248</v>
      </c>
      <c r="AO32" s="11">
        <v>2.0324357251577999E-2</v>
      </c>
      <c r="AP32" s="11">
        <v>0.11618064081578769</v>
      </c>
      <c r="AQ32" s="11">
        <v>2.4586325972116411E-2</v>
      </c>
      <c r="AR32" s="11">
        <v>7.2317630663630506E-2</v>
      </c>
      <c r="AS32" s="11">
        <v>8.2498540953195084E-3</v>
      </c>
      <c r="AT32" s="11">
        <v>4.4839784283352981E-2</v>
      </c>
      <c r="AU32" s="11">
        <v>7.0552695796471266E-3</v>
      </c>
      <c r="AV32" s="10">
        <v>0.135315947471005</v>
      </c>
      <c r="AW32" s="10">
        <v>1.1824711290307539</v>
      </c>
      <c r="AX32" s="10" t="s">
        <v>114</v>
      </c>
      <c r="AY32" s="10" t="s">
        <v>114</v>
      </c>
      <c r="AZ32" s="10">
        <v>1.9595606681360145</v>
      </c>
      <c r="BA32" s="10">
        <v>1.7869529741554084</v>
      </c>
      <c r="BB32" s="11">
        <v>1.8428655336273441</v>
      </c>
      <c r="BC32" s="11">
        <v>9.9979196061236009E-2</v>
      </c>
      <c r="BD32" s="11">
        <v>0.56673805472592409</v>
      </c>
    </row>
    <row r="33" spans="1:56" x14ac:dyDescent="0.3">
      <c r="A33" t="s">
        <v>144</v>
      </c>
      <c r="B33" t="s">
        <v>62</v>
      </c>
      <c r="C33" s="10">
        <v>5575.4809703506144</v>
      </c>
      <c r="D33" s="11">
        <v>2673.4408139700076</v>
      </c>
      <c r="E33" s="10">
        <v>116.89687657951606</v>
      </c>
      <c r="F33" s="10">
        <v>167864.21672034572</v>
      </c>
      <c r="G33" s="10">
        <v>253.18448726818855</v>
      </c>
      <c r="H33" s="10">
        <v>364166.28302545683</v>
      </c>
      <c r="I33" s="11">
        <v>352004.86560310662</v>
      </c>
      <c r="J33" s="10">
        <v>179.05421573326049</v>
      </c>
      <c r="K33" s="11">
        <v>1.246217243430997</v>
      </c>
      <c r="L33" s="11">
        <v>1.9915845993775905</v>
      </c>
      <c r="M33" s="11">
        <v>22.510784201009422</v>
      </c>
      <c r="N33" s="11">
        <v>148.12376337998734</v>
      </c>
      <c r="O33" s="10">
        <v>161.90681132797084</v>
      </c>
      <c r="P33" s="10">
        <v>0.11847932353695452</v>
      </c>
      <c r="Q33" s="11">
        <v>13.799129581620891</v>
      </c>
      <c r="R33" s="11">
        <v>3.3379335869086804</v>
      </c>
      <c r="S33" s="10">
        <v>3.3260761283419646</v>
      </c>
      <c r="T33" s="11">
        <v>278.64936770037372</v>
      </c>
      <c r="U33" s="10">
        <v>263.66473614520703</v>
      </c>
      <c r="V33" s="10">
        <v>0.92888624671607367</v>
      </c>
      <c r="W33" s="10" t="s">
        <v>114</v>
      </c>
      <c r="X33" s="10" t="s">
        <v>114</v>
      </c>
      <c r="Y33" s="11">
        <v>209.34419367309735</v>
      </c>
      <c r="Z33" s="10">
        <v>0.94826200727131471</v>
      </c>
      <c r="AA33" s="10" t="s">
        <v>114</v>
      </c>
      <c r="AB33" s="10" t="s">
        <v>114</v>
      </c>
      <c r="AC33" s="10" t="s">
        <v>114</v>
      </c>
      <c r="AD33" s="10" t="s">
        <v>114</v>
      </c>
      <c r="AE33" s="10" t="s">
        <v>114</v>
      </c>
      <c r="AF33" s="10">
        <v>6.0797119504711582E-3</v>
      </c>
      <c r="AG33" s="11">
        <v>11.921231438103117</v>
      </c>
      <c r="AH33" s="11">
        <v>0.89966821026121346</v>
      </c>
      <c r="AI33" s="11">
        <v>2.1209052346112607</v>
      </c>
      <c r="AJ33" s="11">
        <v>0.18112132923849697</v>
      </c>
      <c r="AK33" s="11">
        <v>0.82575525406688188</v>
      </c>
      <c r="AL33" s="11">
        <v>0.18254398414853176</v>
      </c>
      <c r="AM33" s="11">
        <v>4.1186214682904884E-2</v>
      </c>
      <c r="AN33" s="11">
        <v>0.19426836087117327</v>
      </c>
      <c r="AO33" s="11">
        <v>2.9105106127015948E-2</v>
      </c>
      <c r="AP33" s="11">
        <v>0.16014331996765732</v>
      </c>
      <c r="AQ33" s="11">
        <v>3.7537778848443379E-2</v>
      </c>
      <c r="AR33" s="11">
        <v>0.10845852649268332</v>
      </c>
      <c r="AS33" s="11">
        <v>1.5662734360881912E-2</v>
      </c>
      <c r="AT33" s="11">
        <v>8.4348171669942004E-2</v>
      </c>
      <c r="AU33" s="11">
        <v>1.3756109619846486E-2</v>
      </c>
      <c r="AV33" s="10">
        <v>0.15265454871222878</v>
      </c>
      <c r="AW33" s="10">
        <v>0.95205333315588281</v>
      </c>
      <c r="AX33" s="10" t="s">
        <v>114</v>
      </c>
      <c r="AY33" s="10" t="s">
        <v>114</v>
      </c>
      <c r="AZ33" s="10">
        <v>54.499605782777671</v>
      </c>
      <c r="BA33" s="10">
        <v>48.977729473182897</v>
      </c>
      <c r="BB33" s="11">
        <v>50.84870110988679</v>
      </c>
      <c r="BC33" s="11">
        <v>0.13294915957704184</v>
      </c>
      <c r="BD33" s="11">
        <v>1.54382010461331</v>
      </c>
    </row>
    <row r="34" spans="1:56" x14ac:dyDescent="0.3">
      <c r="A34" t="s">
        <v>145</v>
      </c>
      <c r="B34" t="s">
        <v>62</v>
      </c>
      <c r="C34" s="10">
        <v>5340.817585813983</v>
      </c>
      <c r="D34" s="11">
        <v>2716.4815340365067</v>
      </c>
      <c r="E34" s="10">
        <v>77.358220150625186</v>
      </c>
      <c r="F34" s="10">
        <v>123956.45881412596</v>
      </c>
      <c r="G34" s="10">
        <v>212.5493840094484</v>
      </c>
      <c r="H34" s="10">
        <v>270933.65771671815</v>
      </c>
      <c r="I34" s="11">
        <v>263646.15710470028</v>
      </c>
      <c r="J34" s="10">
        <v>186.50730645966311</v>
      </c>
      <c r="K34" s="11">
        <v>1.0530818357718168</v>
      </c>
      <c r="L34" s="11">
        <v>1.689247699363013</v>
      </c>
      <c r="M34" s="11">
        <v>64.580516221578605</v>
      </c>
      <c r="N34" s="11">
        <v>103.67153686213835</v>
      </c>
      <c r="O34" s="10">
        <v>114.51484163078356</v>
      </c>
      <c r="P34" s="10">
        <v>0.23217701888088632</v>
      </c>
      <c r="Q34" s="11">
        <v>4.8318049086257631</v>
      </c>
      <c r="R34" s="11">
        <v>2.567657150199731</v>
      </c>
      <c r="S34" s="10">
        <v>2.768081224199471</v>
      </c>
      <c r="T34" s="11">
        <v>114.97632140627964</v>
      </c>
      <c r="U34" s="10">
        <v>110.80701345456117</v>
      </c>
      <c r="V34" s="10">
        <v>0.72438178663820718</v>
      </c>
      <c r="W34" s="10" t="s">
        <v>114</v>
      </c>
      <c r="X34" s="10">
        <v>0.18603764766246883</v>
      </c>
      <c r="Y34" s="11">
        <v>233.52051082103023</v>
      </c>
      <c r="Z34" s="10">
        <v>0.79794379555407124</v>
      </c>
      <c r="AA34" s="10" t="s">
        <v>114</v>
      </c>
      <c r="AB34" s="10" t="s">
        <v>114</v>
      </c>
      <c r="AC34" s="10">
        <v>2.0293236000356325E-2</v>
      </c>
      <c r="AD34" s="10" t="s">
        <v>114</v>
      </c>
      <c r="AE34" s="10">
        <v>0.50811076413318335</v>
      </c>
      <c r="AF34" s="10">
        <v>5.8944782760936582E-3</v>
      </c>
      <c r="AG34" s="11">
        <v>21.643072015565629</v>
      </c>
      <c r="AH34" s="11">
        <v>0.61487888592441375</v>
      </c>
      <c r="AI34" s="11">
        <v>1.6805179615480113</v>
      </c>
      <c r="AJ34" s="11">
        <v>0.1324782639617183</v>
      </c>
      <c r="AK34" s="11">
        <v>0.56389082086544828</v>
      </c>
      <c r="AL34" s="11">
        <v>0.13831044763094766</v>
      </c>
      <c r="AM34" s="11">
        <v>3.1941878589999355E-2</v>
      </c>
      <c r="AN34" s="11">
        <v>0.12634105842042401</v>
      </c>
      <c r="AO34" s="11">
        <v>2.2999398531672165E-2</v>
      </c>
      <c r="AP34" s="11">
        <v>0.14244200982638255</v>
      </c>
      <c r="AQ34" s="11">
        <v>3.1339229959756652E-2</v>
      </c>
      <c r="AR34" s="11">
        <v>8.5159608399051859E-2</v>
      </c>
      <c r="AS34" s="11">
        <v>1.2209617005978049E-2</v>
      </c>
      <c r="AT34" s="11">
        <v>8.7951463052967763E-2</v>
      </c>
      <c r="AU34" s="11">
        <v>1.2022244259694656E-2</v>
      </c>
      <c r="AV34" s="10">
        <v>0.16310405109400483</v>
      </c>
      <c r="AW34" s="10">
        <v>0.86348460613286515</v>
      </c>
      <c r="AX34" s="10" t="s">
        <v>114</v>
      </c>
      <c r="AY34" s="10">
        <v>6.3991398149452691E-3</v>
      </c>
      <c r="AZ34" s="10">
        <v>4.0947685455486695</v>
      </c>
      <c r="BA34" s="10">
        <v>3.7334605144749169</v>
      </c>
      <c r="BB34" s="11">
        <v>3.8635444962271102</v>
      </c>
      <c r="BC34" s="11">
        <v>9.9976184660463943E-2</v>
      </c>
      <c r="BD34" s="11">
        <v>2.3022760375008775</v>
      </c>
    </row>
    <row r="35" spans="1:56" x14ac:dyDescent="0.3">
      <c r="A35" t="s">
        <v>146</v>
      </c>
      <c r="B35" t="s">
        <v>62</v>
      </c>
      <c r="C35" s="10">
        <v>6661.9447597125445</v>
      </c>
      <c r="D35" s="11">
        <v>3937.83401372762</v>
      </c>
      <c r="E35" s="10">
        <v>83.231992679494937</v>
      </c>
      <c r="F35" s="10">
        <v>155315.3373796517</v>
      </c>
      <c r="G35" s="10">
        <v>225.01614277027204</v>
      </c>
      <c r="H35" s="10">
        <v>344805.22535491508</v>
      </c>
      <c r="I35" s="11">
        <v>331079.38508227334</v>
      </c>
      <c r="J35" s="10">
        <v>2.5666487239230151</v>
      </c>
      <c r="K35" s="11">
        <v>0.47894412326780339</v>
      </c>
      <c r="L35" s="11">
        <v>0.74455888075039689</v>
      </c>
      <c r="M35" s="11">
        <v>25.081671668422302</v>
      </c>
      <c r="N35" s="11">
        <v>101.6765562191305</v>
      </c>
      <c r="O35" s="10">
        <v>113.89599299827209</v>
      </c>
      <c r="P35" s="10">
        <v>0.64657694049856596</v>
      </c>
      <c r="Q35" s="11">
        <v>56.165252420126492</v>
      </c>
      <c r="R35" s="11">
        <v>1.7917704264592622</v>
      </c>
      <c r="S35" s="10">
        <v>1.9158736070858124</v>
      </c>
      <c r="T35" s="11">
        <v>166.01018078567321</v>
      </c>
      <c r="U35" s="10">
        <v>158.42045137091375</v>
      </c>
      <c r="V35" s="10" t="s">
        <v>114</v>
      </c>
      <c r="W35" s="10" t="s">
        <v>114</v>
      </c>
      <c r="X35" s="10">
        <v>0.14359799759219899</v>
      </c>
      <c r="Y35" s="11">
        <v>216.5994950937436</v>
      </c>
      <c r="Z35" s="10">
        <v>0.35903518885261132</v>
      </c>
      <c r="AA35" s="10" t="s">
        <v>114</v>
      </c>
      <c r="AB35" s="10" t="s">
        <v>114</v>
      </c>
      <c r="AC35" s="10" t="s">
        <v>114</v>
      </c>
      <c r="AD35" s="10" t="s">
        <v>114</v>
      </c>
      <c r="AE35" s="10" t="s">
        <v>114</v>
      </c>
      <c r="AF35" s="10">
        <v>5.4873210173168388E-3</v>
      </c>
      <c r="AG35" s="11">
        <v>7.8086592988421977</v>
      </c>
      <c r="AH35" s="11">
        <v>0.41266584983119875</v>
      </c>
      <c r="AI35" s="11">
        <v>0.92963208263262165</v>
      </c>
      <c r="AJ35" s="11">
        <v>8.7343773891514681E-2</v>
      </c>
      <c r="AK35" s="11">
        <v>0.35440239001804313</v>
      </c>
      <c r="AL35" s="11">
        <v>5.8053333107032007E-2</v>
      </c>
      <c r="AM35" s="11">
        <v>1.6557936486926824E-2</v>
      </c>
      <c r="AN35" s="11">
        <v>8.3749436040060465E-2</v>
      </c>
      <c r="AO35" s="11">
        <v>1.4863009654879475E-2</v>
      </c>
      <c r="AP35" s="11">
        <v>8.3545276260333382E-2</v>
      </c>
      <c r="AQ35" s="11">
        <v>1.6120085743566524E-2</v>
      </c>
      <c r="AR35" s="11">
        <v>4.7807611143362794E-2</v>
      </c>
      <c r="AS35" s="11">
        <v>6.9349020714988933E-3</v>
      </c>
      <c r="AT35" s="11">
        <v>3.5222555495049372E-2</v>
      </c>
      <c r="AU35" s="11">
        <v>6.1544722887345547E-3</v>
      </c>
      <c r="AV35" s="10">
        <v>0.11270029300327053</v>
      </c>
      <c r="AW35" s="10">
        <v>0.81455196435581767</v>
      </c>
      <c r="AX35" s="10" t="s">
        <v>114</v>
      </c>
      <c r="AY35" s="10">
        <v>6.2827880573983119E-3</v>
      </c>
      <c r="AZ35" s="10">
        <v>6.9860312900525514</v>
      </c>
      <c r="BA35" s="10">
        <v>6.2061003897725966</v>
      </c>
      <c r="BB35" s="11">
        <v>6.4906620498768826</v>
      </c>
      <c r="BC35" s="11" t="s">
        <v>114</v>
      </c>
      <c r="BD35" s="11">
        <v>2.0381869305185605</v>
      </c>
    </row>
    <row r="36" spans="1:56" x14ac:dyDescent="0.3">
      <c r="A36" t="s">
        <v>147</v>
      </c>
      <c r="B36" t="s">
        <v>62</v>
      </c>
      <c r="C36" s="10">
        <v>6028.1747378947184</v>
      </c>
      <c r="D36" s="11">
        <v>3702.0332999867419</v>
      </c>
      <c r="E36" s="10">
        <v>41.689847313823911</v>
      </c>
      <c r="F36" s="10">
        <v>172966.33699611662</v>
      </c>
      <c r="G36" s="10">
        <v>184.33459448446342</v>
      </c>
      <c r="H36" s="10">
        <v>374121.29057839175</v>
      </c>
      <c r="I36" s="11">
        <v>359287.44457099156</v>
      </c>
      <c r="J36" s="10" t="s">
        <v>114</v>
      </c>
      <c r="K36" s="11">
        <v>0.19625723497767059</v>
      </c>
      <c r="L36" s="11">
        <v>0.59338879887115459</v>
      </c>
      <c r="M36" s="11">
        <v>54.316129306186753</v>
      </c>
      <c r="N36" s="11">
        <v>96.21344770814639</v>
      </c>
      <c r="O36" s="10">
        <v>110.91352674160487</v>
      </c>
      <c r="P36" s="10">
        <v>0.19903644254651989</v>
      </c>
      <c r="Q36" s="11">
        <v>91.014314727144637</v>
      </c>
      <c r="R36" s="11">
        <v>2.6617312071105212</v>
      </c>
      <c r="S36" s="10">
        <v>2.6369364560149542</v>
      </c>
      <c r="T36" s="11">
        <v>178.65319168920436</v>
      </c>
      <c r="U36" s="10">
        <v>171.86709784950276</v>
      </c>
      <c r="V36" s="10" t="s">
        <v>114</v>
      </c>
      <c r="W36" s="10" t="s">
        <v>114</v>
      </c>
      <c r="X36" s="10">
        <v>0.15428599942975413</v>
      </c>
      <c r="Y36" s="11">
        <v>153.85510495011528</v>
      </c>
      <c r="Z36" s="10">
        <v>0.28369127628085683</v>
      </c>
      <c r="AA36" s="10" t="s">
        <v>114</v>
      </c>
      <c r="AB36" s="10" t="s">
        <v>114</v>
      </c>
      <c r="AC36" s="10">
        <v>2.5940433584241744E-2</v>
      </c>
      <c r="AD36" s="10" t="s">
        <v>114</v>
      </c>
      <c r="AE36" s="10">
        <v>4.6646689641389343E-2</v>
      </c>
      <c r="AF36" s="10">
        <v>5.057743238274316E-3</v>
      </c>
      <c r="AG36" s="11">
        <v>9.5089138360977312</v>
      </c>
      <c r="AH36" s="11">
        <v>0.30404709447499328</v>
      </c>
      <c r="AI36" s="11">
        <v>0.90756982209643111</v>
      </c>
      <c r="AJ36" s="11">
        <v>8.0378742535796993E-2</v>
      </c>
      <c r="AK36" s="11">
        <v>0.36382760188529728</v>
      </c>
      <c r="AL36" s="11">
        <v>8.2292710160729782E-2</v>
      </c>
      <c r="AM36" s="11">
        <v>1.9223491046691691E-2</v>
      </c>
      <c r="AN36" s="11">
        <v>7.4234286557718118E-2</v>
      </c>
      <c r="AO36" s="11">
        <v>1.4448033053737963E-2</v>
      </c>
      <c r="AP36" s="11">
        <v>6.5126729834078606E-2</v>
      </c>
      <c r="AQ36" s="11">
        <v>1.4644018957104736E-2</v>
      </c>
      <c r="AR36" s="11">
        <v>3.3099344871182303E-2</v>
      </c>
      <c r="AS36" s="11">
        <v>3.8561414142570865E-3</v>
      </c>
      <c r="AT36" s="11">
        <v>2.4373595483985155E-2</v>
      </c>
      <c r="AU36" s="11">
        <v>3.0615745366742698E-3</v>
      </c>
      <c r="AV36" s="10">
        <v>7.6358904572993477E-2</v>
      </c>
      <c r="AW36" s="10">
        <v>0.75615253980155095</v>
      </c>
      <c r="AX36" s="10" t="s">
        <v>114</v>
      </c>
      <c r="AY36" s="10" t="s">
        <v>114</v>
      </c>
      <c r="AZ36" s="10">
        <v>2.9294952322364334</v>
      </c>
      <c r="BA36" s="10">
        <v>2.6795037418074017</v>
      </c>
      <c r="BB36" s="11">
        <v>2.7708769341189634</v>
      </c>
      <c r="BC36" s="11" t="s">
        <v>114</v>
      </c>
      <c r="BD36" s="11">
        <v>0.32387743010357906</v>
      </c>
    </row>
    <row r="37" spans="1:56" x14ac:dyDescent="0.3">
      <c r="A37" t="s">
        <v>148</v>
      </c>
      <c r="B37" t="s">
        <v>62</v>
      </c>
      <c r="C37" s="10">
        <v>6268.9354625126434</v>
      </c>
      <c r="D37" s="11">
        <v>2856.1584027885765</v>
      </c>
      <c r="E37" s="10">
        <v>41.804775297072531</v>
      </c>
      <c r="F37" s="10">
        <v>154566.42894647075</v>
      </c>
      <c r="G37" s="10">
        <v>188.87876312616035</v>
      </c>
      <c r="H37" s="10">
        <v>339805.94616457232</v>
      </c>
      <c r="I37" s="11">
        <v>327499.491657876</v>
      </c>
      <c r="J37" s="10">
        <v>23.860560248387916</v>
      </c>
      <c r="K37" s="11">
        <v>1.6689559685404118</v>
      </c>
      <c r="L37" s="11">
        <v>6.7682150277991555</v>
      </c>
      <c r="M37" s="11">
        <v>19.518574768331543</v>
      </c>
      <c r="N37" s="11">
        <v>107.0096761191043</v>
      </c>
      <c r="O37" s="10">
        <v>122.88742598515691</v>
      </c>
      <c r="P37" s="10">
        <v>6.9756629918883636E-2</v>
      </c>
      <c r="Q37" s="11">
        <v>4.7911445250566347</v>
      </c>
      <c r="R37" s="11">
        <v>2.9963085868567108</v>
      </c>
      <c r="S37" s="10">
        <v>2.8368274184158659</v>
      </c>
      <c r="T37" s="11">
        <v>177.03244936590411</v>
      </c>
      <c r="U37" s="10">
        <v>169.61254888282372</v>
      </c>
      <c r="V37" s="10" t="s">
        <v>114</v>
      </c>
      <c r="W37" s="10" t="s">
        <v>114</v>
      </c>
      <c r="X37" s="10" t="s">
        <v>114</v>
      </c>
      <c r="Y37" s="11">
        <v>358.51982740436392</v>
      </c>
      <c r="Z37" s="10">
        <v>0.32016792685423007</v>
      </c>
      <c r="AA37" s="10">
        <v>0.62305773170111545</v>
      </c>
      <c r="AB37" s="10">
        <v>0.59103239571609634</v>
      </c>
      <c r="AC37" s="10" t="s">
        <v>114</v>
      </c>
      <c r="AD37" s="10" t="s">
        <v>114</v>
      </c>
      <c r="AE37" s="10" t="s">
        <v>114</v>
      </c>
      <c r="AF37" s="10">
        <v>3.642778947632742E-3</v>
      </c>
      <c r="AG37" s="11">
        <v>14.406427115618429</v>
      </c>
      <c r="AH37" s="11">
        <v>0.8394765932471312</v>
      </c>
      <c r="AI37" s="11">
        <v>2.1584831132806004</v>
      </c>
      <c r="AJ37" s="11">
        <v>0.21088726336267299</v>
      </c>
      <c r="AK37" s="11">
        <v>0.853305387941379</v>
      </c>
      <c r="AL37" s="11">
        <v>0.21134487994944717</v>
      </c>
      <c r="AM37" s="11">
        <v>4.4655287240758831E-2</v>
      </c>
      <c r="AN37" s="11">
        <v>0.17983620581281362</v>
      </c>
      <c r="AO37" s="11">
        <v>3.2358149924727818E-2</v>
      </c>
      <c r="AP37" s="11">
        <v>0.14835456743222616</v>
      </c>
      <c r="AQ37" s="11">
        <v>3.0962260128251748E-2</v>
      </c>
      <c r="AR37" s="11">
        <v>8.929817233110339E-2</v>
      </c>
      <c r="AS37" s="11">
        <v>1.1201905185042594E-2</v>
      </c>
      <c r="AT37" s="11">
        <v>6.5757374514451031E-2</v>
      </c>
      <c r="AU37" s="11">
        <v>9.4216559093176187E-3</v>
      </c>
      <c r="AV37" s="10">
        <v>0.10600690796566126</v>
      </c>
      <c r="AW37" s="10">
        <v>0.71255529507078086</v>
      </c>
      <c r="AX37" s="10" t="s">
        <v>114</v>
      </c>
      <c r="AY37" s="10" t="s">
        <v>114</v>
      </c>
      <c r="AZ37" s="10">
        <v>1.2740276974749172</v>
      </c>
      <c r="BA37" s="10">
        <v>1.1351688632927772</v>
      </c>
      <c r="BB37" s="11">
        <v>1.1755932632883905</v>
      </c>
      <c r="BC37" s="11">
        <v>9.8694263428844117E-2</v>
      </c>
      <c r="BD37" s="11">
        <v>1.2225901243375208</v>
      </c>
    </row>
    <row r="38" spans="1:56" x14ac:dyDescent="0.3">
      <c r="A38" t="s">
        <v>149</v>
      </c>
      <c r="B38" t="s">
        <v>62</v>
      </c>
      <c r="C38" s="10">
        <v>5087.5961739008471</v>
      </c>
      <c r="D38" s="11">
        <v>1981.444102102015</v>
      </c>
      <c r="E38" s="10">
        <v>77.632415012392173</v>
      </c>
      <c r="F38" s="10">
        <v>123694.57407663639</v>
      </c>
      <c r="G38" s="10">
        <v>138.71482340561531</v>
      </c>
      <c r="H38" s="10">
        <v>278380.64644408424</v>
      </c>
      <c r="I38" s="11">
        <v>270365.21097776265</v>
      </c>
      <c r="J38" s="10" t="s">
        <v>114</v>
      </c>
      <c r="K38" s="11">
        <v>1.0974296077337897</v>
      </c>
      <c r="L38" s="11">
        <v>1.0008792005163745</v>
      </c>
      <c r="M38" s="11">
        <v>27.982793334968434</v>
      </c>
      <c r="N38" s="11">
        <v>256.89053142830073</v>
      </c>
      <c r="O38" s="10">
        <v>264.08626268119832</v>
      </c>
      <c r="P38" s="10">
        <v>0.19396898342376645</v>
      </c>
      <c r="Q38" s="11">
        <v>1.7147600099795339</v>
      </c>
      <c r="R38" s="11">
        <v>3.0831353725266966</v>
      </c>
      <c r="S38" s="10">
        <v>3.1832728393043483</v>
      </c>
      <c r="T38" s="11">
        <v>253.53328757152269</v>
      </c>
      <c r="U38" s="10">
        <v>240.81291465554679</v>
      </c>
      <c r="V38" s="10">
        <v>3.084606834947726</v>
      </c>
      <c r="W38" s="10" t="s">
        <v>114</v>
      </c>
      <c r="X38" s="10">
        <v>0.15825579273750939</v>
      </c>
      <c r="Y38" s="11">
        <v>177.21042152367113</v>
      </c>
      <c r="Z38" s="10">
        <v>0.53113815226574934</v>
      </c>
      <c r="AA38" s="10" t="s">
        <v>114</v>
      </c>
      <c r="AB38" s="10" t="s">
        <v>114</v>
      </c>
      <c r="AC38" s="10" t="s">
        <v>114</v>
      </c>
      <c r="AD38" s="10">
        <v>0.49105413620113664</v>
      </c>
      <c r="AE38" s="10">
        <v>0.21385450402269177</v>
      </c>
      <c r="AF38" s="10">
        <v>5.8343069849416491E-3</v>
      </c>
      <c r="AG38" s="11">
        <v>8.8096077291966246</v>
      </c>
      <c r="AH38" s="11">
        <v>0.73593429773947028</v>
      </c>
      <c r="AI38" s="11">
        <v>1.8829841552005393</v>
      </c>
      <c r="AJ38" s="11">
        <v>0.1642625958421039</v>
      </c>
      <c r="AK38" s="11">
        <v>0.67368415429088369</v>
      </c>
      <c r="AL38" s="11">
        <v>0.15587380745072735</v>
      </c>
      <c r="AM38" s="11">
        <v>3.3990131082942437E-2</v>
      </c>
      <c r="AN38" s="11">
        <v>0.16522762700306765</v>
      </c>
      <c r="AO38" s="11">
        <v>2.5423443016362634E-2</v>
      </c>
      <c r="AP38" s="11">
        <v>0.14940106539425579</v>
      </c>
      <c r="AQ38" s="11">
        <v>3.2281541309026024E-2</v>
      </c>
      <c r="AR38" s="11">
        <v>9.2283469953386404E-2</v>
      </c>
      <c r="AS38" s="11">
        <v>1.3447140452920914E-2</v>
      </c>
      <c r="AT38" s="11">
        <v>7.6416976083634597E-2</v>
      </c>
      <c r="AU38" s="11">
        <v>1.3062644335613082E-2</v>
      </c>
      <c r="AV38" s="10">
        <v>0.13671724778273386</v>
      </c>
      <c r="AW38" s="10">
        <v>0.71157371377328826</v>
      </c>
      <c r="AX38" s="10" t="s">
        <v>114</v>
      </c>
      <c r="AY38" s="10" t="s">
        <v>114</v>
      </c>
      <c r="AZ38" s="10">
        <v>1.6678500553968798</v>
      </c>
      <c r="BA38" s="10">
        <v>1.5005974229018018</v>
      </c>
      <c r="BB38" s="11">
        <v>1.5612337263964891</v>
      </c>
      <c r="BC38" s="11">
        <v>0.11611323469858632</v>
      </c>
      <c r="BD38" s="11">
        <v>1.9349140124171682</v>
      </c>
    </row>
    <row r="39" spans="1:56" x14ac:dyDescent="0.3">
      <c r="A39" t="s">
        <v>150</v>
      </c>
      <c r="B39" t="s">
        <v>62</v>
      </c>
      <c r="C39" s="10">
        <v>7008.1990332933456</v>
      </c>
      <c r="D39" s="11">
        <v>3008.3394264202584</v>
      </c>
      <c r="E39" s="10">
        <v>130.90041095994002</v>
      </c>
      <c r="F39" s="10">
        <v>193740.91219461468</v>
      </c>
      <c r="G39" s="10">
        <v>325.80064386390472</v>
      </c>
      <c r="H39" s="10">
        <v>418156.31590823468</v>
      </c>
      <c r="I39" s="11">
        <v>404144.51940838515</v>
      </c>
      <c r="J39" s="10">
        <v>27.719818637730917</v>
      </c>
      <c r="K39" s="11">
        <v>0.39737603952157041</v>
      </c>
      <c r="L39" s="11">
        <v>1.1102909562308754</v>
      </c>
      <c r="M39" s="11">
        <v>53.45047263998476</v>
      </c>
      <c r="N39" s="11">
        <v>147.9997182322696</v>
      </c>
      <c r="O39" s="10">
        <v>159.91495957693158</v>
      </c>
      <c r="P39" s="10">
        <v>0.50548991400868371</v>
      </c>
      <c r="Q39" s="11">
        <v>175.89341219043749</v>
      </c>
      <c r="R39" s="11">
        <v>2.6850841096006763</v>
      </c>
      <c r="S39" s="10">
        <v>2.7735064785556807</v>
      </c>
      <c r="T39" s="11">
        <v>447.97221885242232</v>
      </c>
      <c r="U39" s="10">
        <v>422.07767614379469</v>
      </c>
      <c r="V39" s="10" t="s">
        <v>114</v>
      </c>
      <c r="W39" s="10" t="s">
        <v>114</v>
      </c>
      <c r="X39" s="10">
        <v>0.30142417390576431</v>
      </c>
      <c r="Y39" s="11">
        <v>272.96977727537546</v>
      </c>
      <c r="Z39" s="10">
        <v>0.85425749926577754</v>
      </c>
      <c r="AA39" s="10" t="s">
        <v>114</v>
      </c>
      <c r="AB39" s="10" t="s">
        <v>114</v>
      </c>
      <c r="AC39" s="10" t="s">
        <v>114</v>
      </c>
      <c r="AD39" s="10" t="s">
        <v>114</v>
      </c>
      <c r="AE39" s="10" t="s">
        <v>114</v>
      </c>
      <c r="AF39" s="10">
        <v>6.0281496617109074E-3</v>
      </c>
      <c r="AG39" s="11">
        <v>8.6627203131889026</v>
      </c>
      <c r="AH39" s="11">
        <v>1.3267177747835002</v>
      </c>
      <c r="AI39" s="11">
        <v>3.0363175955803121</v>
      </c>
      <c r="AJ39" s="11">
        <v>0.26961233512212102</v>
      </c>
      <c r="AK39" s="11">
        <v>1.1500321959032103</v>
      </c>
      <c r="AL39" s="11">
        <v>0.25148238043098109</v>
      </c>
      <c r="AM39" s="11">
        <v>5.8122284297841213E-2</v>
      </c>
      <c r="AN39" s="11">
        <v>0.23523994786123789</v>
      </c>
      <c r="AO39" s="11">
        <v>4.2003878494291137E-2</v>
      </c>
      <c r="AP39" s="11">
        <v>0.27062253451096918</v>
      </c>
      <c r="AQ39" s="11">
        <v>5.9839242037502377E-2</v>
      </c>
      <c r="AR39" s="11">
        <v>0.17716176537611447</v>
      </c>
      <c r="AS39" s="11">
        <v>2.3414992730791905E-2</v>
      </c>
      <c r="AT39" s="11">
        <v>0.15770996331549411</v>
      </c>
      <c r="AU39" s="11">
        <v>2.1658141845175328E-2</v>
      </c>
      <c r="AV39" s="10" t="s">
        <v>114</v>
      </c>
      <c r="AW39" s="10">
        <v>0.58918996706700899</v>
      </c>
      <c r="AX39" s="10" t="s">
        <v>114</v>
      </c>
      <c r="AY39" s="10">
        <v>1.350188071092122E-2</v>
      </c>
      <c r="AZ39" s="10">
        <v>7.563812967196899</v>
      </c>
      <c r="BA39" s="10">
        <v>6.9655203654714422</v>
      </c>
      <c r="BB39" s="11">
        <v>7.1816873672022812</v>
      </c>
      <c r="BC39" s="11">
        <v>0.1228538808589596</v>
      </c>
      <c r="BD39" s="11">
        <v>1.2378275807698278</v>
      </c>
    </row>
    <row r="40" spans="1:56" x14ac:dyDescent="0.3">
      <c r="A40" t="s">
        <v>151</v>
      </c>
      <c r="B40" t="s">
        <v>62</v>
      </c>
      <c r="C40" s="10">
        <v>6363.9817285456056</v>
      </c>
      <c r="D40" s="11">
        <v>2665.6210252886467</v>
      </c>
      <c r="E40" s="10">
        <v>76.144629284145623</v>
      </c>
      <c r="F40" s="10">
        <v>168947.97354237791</v>
      </c>
      <c r="G40" s="10">
        <v>207.11966035494956</v>
      </c>
      <c r="H40" s="10">
        <v>364612.10835053615</v>
      </c>
      <c r="I40" s="11">
        <v>354235.52622606629</v>
      </c>
      <c r="J40" s="10">
        <v>41.268718690628333</v>
      </c>
      <c r="K40" s="11">
        <v>0.42586284126482282</v>
      </c>
      <c r="L40" s="11">
        <v>0.98094236583391126</v>
      </c>
      <c r="M40" s="11">
        <v>12.85708867028459</v>
      </c>
      <c r="N40" s="11">
        <v>69.211323574319906</v>
      </c>
      <c r="O40" s="10">
        <v>82.069431348372859</v>
      </c>
      <c r="P40" s="10">
        <v>1.7731114267869503</v>
      </c>
      <c r="Q40" s="11">
        <v>134.2426792700156</v>
      </c>
      <c r="R40" s="11">
        <v>0.91646981243180514</v>
      </c>
      <c r="S40" s="10">
        <v>0.8349902192412576</v>
      </c>
      <c r="T40" s="11">
        <v>169.77727099329547</v>
      </c>
      <c r="U40" s="10">
        <v>160.81074887756202</v>
      </c>
      <c r="V40" s="10">
        <v>0.73435239965863319</v>
      </c>
      <c r="W40" s="10" t="s">
        <v>114</v>
      </c>
      <c r="X40" s="10">
        <v>0.10865729436396299</v>
      </c>
      <c r="Y40" s="11">
        <v>238.189643634145</v>
      </c>
      <c r="Z40" s="10">
        <v>0.21150789051196361</v>
      </c>
      <c r="AA40" s="10" t="s">
        <v>114</v>
      </c>
      <c r="AB40" s="10" t="s">
        <v>114</v>
      </c>
      <c r="AC40" s="10" t="s">
        <v>114</v>
      </c>
      <c r="AD40" s="10" t="s">
        <v>114</v>
      </c>
      <c r="AE40" s="10" t="s">
        <v>114</v>
      </c>
      <c r="AF40" s="10">
        <v>4.0576927898368486E-3</v>
      </c>
      <c r="AG40" s="11">
        <v>5.9656957253386143</v>
      </c>
      <c r="AH40" s="11">
        <v>0.2021044639171784</v>
      </c>
      <c r="AI40" s="11">
        <v>0.47673351952179854</v>
      </c>
      <c r="AJ40" s="11">
        <v>4.563728381687459E-2</v>
      </c>
      <c r="AK40" s="11">
        <v>0.19932493755900033</v>
      </c>
      <c r="AL40" s="11">
        <v>3.9608909549014179E-2</v>
      </c>
      <c r="AM40" s="11">
        <v>1.0457172639302173E-2</v>
      </c>
      <c r="AN40" s="11">
        <v>5.6241171350924837E-2</v>
      </c>
      <c r="AO40" s="11">
        <v>7.2141400727499362E-3</v>
      </c>
      <c r="AP40" s="11">
        <v>3.6763866120318144E-2</v>
      </c>
      <c r="AQ40" s="11">
        <v>9.589937100945552E-3</v>
      </c>
      <c r="AR40" s="11">
        <v>2.8476674745077882E-2</v>
      </c>
      <c r="AS40" s="11">
        <v>4.1933124225976056E-3</v>
      </c>
      <c r="AT40" s="11">
        <v>1.4336390207399668E-2</v>
      </c>
      <c r="AU40" s="11">
        <v>2.827732898262587E-3</v>
      </c>
      <c r="AV40" s="10" t="s">
        <v>114</v>
      </c>
      <c r="AW40" s="10">
        <v>0.48751522043165824</v>
      </c>
      <c r="AX40" s="10" t="s">
        <v>114</v>
      </c>
      <c r="AY40" s="10">
        <v>8.9730760280694495E-3</v>
      </c>
      <c r="AZ40" s="10">
        <v>2.1631622948265359</v>
      </c>
      <c r="BA40" s="10">
        <v>1.929669775562332</v>
      </c>
      <c r="BB40" s="11">
        <v>2.0137027875620523</v>
      </c>
      <c r="BC40" s="11" t="s">
        <v>114</v>
      </c>
      <c r="BD40" s="11">
        <v>0.26089953137077304</v>
      </c>
    </row>
    <row r="41" spans="1:56" x14ac:dyDescent="0.3">
      <c r="A41" t="s">
        <v>152</v>
      </c>
      <c r="B41" t="s">
        <v>62</v>
      </c>
      <c r="C41" s="10">
        <v>2668.1555021900504</v>
      </c>
      <c r="D41" s="11">
        <v>1284.3859891193372</v>
      </c>
      <c r="E41" s="10">
        <v>59.155002491423623</v>
      </c>
      <c r="F41" s="10">
        <v>83022.75309201944</v>
      </c>
      <c r="G41" s="10">
        <v>88.193111718906451</v>
      </c>
      <c r="H41" s="10">
        <v>183195.04019738338</v>
      </c>
      <c r="I41" s="11">
        <v>177280.73103291757</v>
      </c>
      <c r="J41" s="10">
        <v>88.929719509635319</v>
      </c>
      <c r="K41" s="11">
        <v>0.28952920038817531</v>
      </c>
      <c r="L41" s="11">
        <v>0.39264177637486364</v>
      </c>
      <c r="M41" s="11">
        <v>14.742810261732151</v>
      </c>
      <c r="N41" s="11">
        <v>81.573493358940127</v>
      </c>
      <c r="O41" s="10">
        <v>87.670628154569911</v>
      </c>
      <c r="P41" s="10">
        <v>0.15289539435435101</v>
      </c>
      <c r="Q41" s="11">
        <v>62.598496248888111</v>
      </c>
      <c r="R41" s="11">
        <v>1.1232352716778811</v>
      </c>
      <c r="S41" s="10">
        <v>1.115262416649093</v>
      </c>
      <c r="T41" s="11">
        <v>96.474063212621701</v>
      </c>
      <c r="U41" s="10">
        <v>91.85015984486742</v>
      </c>
      <c r="V41" s="10">
        <v>0.86100928997993775</v>
      </c>
      <c r="W41" s="10" t="s">
        <v>114</v>
      </c>
      <c r="X41" s="10" t="s">
        <v>114</v>
      </c>
      <c r="Y41" s="11">
        <v>173.5332489249414</v>
      </c>
      <c r="Z41" s="10">
        <v>0.16987727051034943</v>
      </c>
      <c r="AA41" s="10" t="s">
        <v>114</v>
      </c>
      <c r="AB41" s="10" t="s">
        <v>114</v>
      </c>
      <c r="AC41" s="10" t="s">
        <v>114</v>
      </c>
      <c r="AD41" s="10" t="s">
        <v>114</v>
      </c>
      <c r="AE41" s="10" t="s">
        <v>114</v>
      </c>
      <c r="AF41" s="10">
        <v>4.2206002537702007E-3</v>
      </c>
      <c r="AG41" s="11">
        <v>4.1506419208957315</v>
      </c>
      <c r="AH41" s="11">
        <v>0.41896177390173794</v>
      </c>
      <c r="AI41" s="11">
        <v>0.96599746852653423</v>
      </c>
      <c r="AJ41" s="11">
        <v>8.161906904410253E-2</v>
      </c>
      <c r="AK41" s="11">
        <v>0.37507148863679457</v>
      </c>
      <c r="AL41" s="11">
        <v>8.2712606435772967E-2</v>
      </c>
      <c r="AM41" s="11">
        <v>2.0941086166794843E-2</v>
      </c>
      <c r="AN41" s="11">
        <v>9.7535875865176619E-2</v>
      </c>
      <c r="AO41" s="11">
        <v>1.5633945711494387E-2</v>
      </c>
      <c r="AP41" s="11">
        <v>7.9321625319074995E-2</v>
      </c>
      <c r="AQ41" s="11">
        <v>1.8807360019087942E-2</v>
      </c>
      <c r="AR41" s="11">
        <v>4.9652493605813391E-2</v>
      </c>
      <c r="AS41" s="11">
        <v>7.2385213885162248E-3</v>
      </c>
      <c r="AT41" s="11">
        <v>3.8997142113376376E-2</v>
      </c>
      <c r="AU41" s="11">
        <v>6.5976872701820517E-3</v>
      </c>
      <c r="AV41" s="10" t="s">
        <v>114</v>
      </c>
      <c r="AW41" s="10">
        <v>0.48621780704407958</v>
      </c>
      <c r="AX41" s="10" t="s">
        <v>114</v>
      </c>
      <c r="AY41" s="10" t="s">
        <v>114</v>
      </c>
      <c r="AZ41" s="10">
        <v>1.5392906173850691</v>
      </c>
      <c r="BA41" s="10">
        <v>1.3154033535092982</v>
      </c>
      <c r="BB41" s="11">
        <v>1.4105234920750442</v>
      </c>
      <c r="BC41" s="11" t="s">
        <v>114</v>
      </c>
      <c r="BD41" s="11">
        <v>0.66426924811935995</v>
      </c>
    </row>
    <row r="42" spans="1:56" x14ac:dyDescent="0.3">
      <c r="A42" t="s">
        <v>153</v>
      </c>
      <c r="B42" t="s">
        <v>62</v>
      </c>
      <c r="C42" s="10">
        <v>4406.8720203106623</v>
      </c>
      <c r="D42" s="11">
        <v>2391.92362978247</v>
      </c>
      <c r="E42" s="10">
        <v>143.32628739814589</v>
      </c>
      <c r="F42" s="10">
        <v>159363.25480807337</v>
      </c>
      <c r="G42" s="10">
        <v>146.87478392069366</v>
      </c>
      <c r="H42" s="10">
        <v>351113.99728468986</v>
      </c>
      <c r="I42" s="11">
        <v>340543.69833260018</v>
      </c>
      <c r="J42" s="10">
        <v>3.1605432255223782</v>
      </c>
      <c r="K42" s="11">
        <v>0.90187377180215578</v>
      </c>
      <c r="L42" s="11">
        <v>1.8683028183043211</v>
      </c>
      <c r="M42" s="11">
        <v>29.411828746135928</v>
      </c>
      <c r="N42" s="11">
        <v>310.01687033953152</v>
      </c>
      <c r="O42" s="10">
        <v>319.73243071287158</v>
      </c>
      <c r="P42" s="10">
        <v>1.0853939576431375</v>
      </c>
      <c r="Q42" s="11">
        <v>504.96450440528002</v>
      </c>
      <c r="R42" s="11">
        <v>6.4401959362030512</v>
      </c>
      <c r="S42" s="10">
        <v>6.1569966991876743</v>
      </c>
      <c r="T42" s="11">
        <v>494.00615685943012</v>
      </c>
      <c r="U42" s="10">
        <v>473.91125192685911</v>
      </c>
      <c r="V42" s="10">
        <v>2.3578251760216231</v>
      </c>
      <c r="W42" s="10" t="s">
        <v>114</v>
      </c>
      <c r="X42" s="10">
        <v>0.28908608503132005</v>
      </c>
      <c r="Y42" s="11">
        <v>222.34603057003886</v>
      </c>
      <c r="Z42" s="10">
        <v>1.2069363592176321</v>
      </c>
      <c r="AA42" s="10" t="s">
        <v>114</v>
      </c>
      <c r="AB42" s="10" t="s">
        <v>114</v>
      </c>
      <c r="AC42" s="10">
        <v>2.1373345055549369E-2</v>
      </c>
      <c r="AD42" s="10" t="s">
        <v>114</v>
      </c>
      <c r="AE42" s="10">
        <v>0.36766862302671643</v>
      </c>
      <c r="AF42" s="10">
        <v>6.5211368927194239E-3</v>
      </c>
      <c r="AG42" s="11">
        <v>9.549841917069319</v>
      </c>
      <c r="AH42" s="11">
        <v>3.7699620944876617</v>
      </c>
      <c r="AI42" s="11">
        <v>9.0583447902950986</v>
      </c>
      <c r="AJ42" s="11">
        <v>0.75439740510813447</v>
      </c>
      <c r="AK42" s="11">
        <v>3.1952201433424108</v>
      </c>
      <c r="AL42" s="11">
        <v>0.7010408417935613</v>
      </c>
      <c r="AM42" s="11">
        <v>0.16674893728267434</v>
      </c>
      <c r="AN42" s="11">
        <v>0.79825667844482651</v>
      </c>
      <c r="AO42" s="11">
        <v>0.13152541002428014</v>
      </c>
      <c r="AP42" s="11">
        <v>0.80796291326628711</v>
      </c>
      <c r="AQ42" s="11">
        <v>0.18072175178956662</v>
      </c>
      <c r="AR42" s="11">
        <v>0.52650410804115066</v>
      </c>
      <c r="AS42" s="11">
        <v>7.1718673065597996E-2</v>
      </c>
      <c r="AT42" s="11">
        <v>0.46349410347703152</v>
      </c>
      <c r="AU42" s="11">
        <v>6.6637242018475054E-2</v>
      </c>
      <c r="AV42" s="10" t="s">
        <v>114</v>
      </c>
      <c r="AW42" s="10">
        <v>0.38804538286517481</v>
      </c>
      <c r="AX42" s="10" t="s">
        <v>114</v>
      </c>
      <c r="AY42" s="10">
        <v>4.8970904874865682E-3</v>
      </c>
      <c r="AZ42" s="10">
        <v>7.1987656460230687</v>
      </c>
      <c r="BA42" s="10">
        <v>6.5583022690660631</v>
      </c>
      <c r="BB42" s="11">
        <v>6.7676593532976694</v>
      </c>
      <c r="BC42" s="11">
        <v>0.13364252131496371</v>
      </c>
      <c r="BD42" s="11">
        <v>2.333050584016068</v>
      </c>
    </row>
    <row r="43" spans="1:56" x14ac:dyDescent="0.3">
      <c r="A43" t="s">
        <v>154</v>
      </c>
      <c r="B43" t="s">
        <v>62</v>
      </c>
      <c r="C43" s="10">
        <v>7259.3641895440478</v>
      </c>
      <c r="D43" s="11">
        <v>3903.478071971691</v>
      </c>
      <c r="E43" s="10">
        <v>81.35709922289945</v>
      </c>
      <c r="F43" s="10">
        <v>171832.11222037577</v>
      </c>
      <c r="G43" s="10">
        <v>247.04289061913107</v>
      </c>
      <c r="H43" s="10">
        <v>383109.7613485512</v>
      </c>
      <c r="I43" s="11">
        <v>370976.94526208006</v>
      </c>
      <c r="J43" s="10">
        <v>201.09221650644139</v>
      </c>
      <c r="K43" s="11">
        <v>1.2084602169796761</v>
      </c>
      <c r="L43" s="11">
        <v>0.99312830666799334</v>
      </c>
      <c r="M43" s="11">
        <v>19.517401895912361</v>
      </c>
      <c r="N43" s="11">
        <v>138.23190499707411</v>
      </c>
      <c r="O43" s="10">
        <v>157.56935336009684</v>
      </c>
      <c r="P43" s="10">
        <v>0.57814752005819914</v>
      </c>
      <c r="Q43" s="11">
        <v>36.474728595333488</v>
      </c>
      <c r="R43" s="11">
        <v>4.0840044614023094</v>
      </c>
      <c r="S43" s="10">
        <v>4.0881350100897995</v>
      </c>
      <c r="T43" s="11">
        <v>59.55819701350061</v>
      </c>
      <c r="U43" s="10">
        <v>57.173935320202744</v>
      </c>
      <c r="V43" s="10">
        <v>1.2498569041160199</v>
      </c>
      <c r="W43" s="10" t="s">
        <v>114</v>
      </c>
      <c r="X43" s="10">
        <v>0.14694296447105043</v>
      </c>
      <c r="Y43" s="11">
        <v>371.51043780703412</v>
      </c>
      <c r="Z43" s="10">
        <v>0.7795144168959216</v>
      </c>
      <c r="AA43" s="10" t="s">
        <v>114</v>
      </c>
      <c r="AB43" s="10" t="s">
        <v>114</v>
      </c>
      <c r="AC43" s="10">
        <v>8.3858924535510082E-2</v>
      </c>
      <c r="AD43" s="10" t="s">
        <v>114</v>
      </c>
      <c r="AE43" s="10">
        <v>0.10119539750936282</v>
      </c>
      <c r="AF43" s="10">
        <v>7.4483871479616289E-3</v>
      </c>
      <c r="AG43" s="11">
        <v>8.9792574524875803</v>
      </c>
      <c r="AH43" s="11">
        <v>0.46665658124798515</v>
      </c>
      <c r="AI43" s="11">
        <v>1.0903646714992401</v>
      </c>
      <c r="AJ43" s="11">
        <v>0.10645264057687708</v>
      </c>
      <c r="AK43" s="11">
        <v>0.42909524921700742</v>
      </c>
      <c r="AL43" s="11">
        <v>8.6048870938455285E-2</v>
      </c>
      <c r="AM43" s="11">
        <v>2.4483528126861599E-2</v>
      </c>
      <c r="AN43" s="11">
        <v>9.1910708739401978E-2</v>
      </c>
      <c r="AO43" s="11">
        <v>1.5385389028999408E-2</v>
      </c>
      <c r="AP43" s="11">
        <v>8.9376019580944155E-2</v>
      </c>
      <c r="AQ43" s="11">
        <v>2.0439773913986246E-2</v>
      </c>
      <c r="AR43" s="11">
        <v>5.6442223462068168E-2</v>
      </c>
      <c r="AS43" s="11">
        <v>7.0112698559695128E-3</v>
      </c>
      <c r="AT43" s="11">
        <v>4.3225810857781072E-2</v>
      </c>
      <c r="AU43" s="11">
        <v>5.5046889135283682E-3</v>
      </c>
      <c r="AV43" s="10" t="s">
        <v>114</v>
      </c>
      <c r="AW43" s="10">
        <v>0.4373657514273262</v>
      </c>
      <c r="AX43" s="10" t="s">
        <v>114</v>
      </c>
      <c r="AY43" s="10">
        <v>1.6874032121250399E-2</v>
      </c>
      <c r="AZ43" s="10">
        <v>0.82943375629100391</v>
      </c>
      <c r="BA43" s="10">
        <v>0.74907841328215552</v>
      </c>
      <c r="BB43" s="11">
        <v>0.77237827822447691</v>
      </c>
      <c r="BC43" s="11" t="s">
        <v>114</v>
      </c>
      <c r="BD43" s="11">
        <v>1.1963107253331742</v>
      </c>
    </row>
    <row r="44" spans="1:56" x14ac:dyDescent="0.3">
      <c r="A44" t="s">
        <v>155</v>
      </c>
      <c r="B44" t="s">
        <v>62</v>
      </c>
      <c r="C44" s="10">
        <v>3927.4281099296586</v>
      </c>
      <c r="D44" s="11">
        <v>2028.4876370766774</v>
      </c>
      <c r="E44" s="10">
        <v>28.679277039447985</v>
      </c>
      <c r="F44" s="10">
        <v>138089.43172340488</v>
      </c>
      <c r="G44" s="10">
        <v>103.48935411459489</v>
      </c>
      <c r="H44" s="10">
        <v>298374.40070413682</v>
      </c>
      <c r="I44" s="11">
        <v>289251.88033007825</v>
      </c>
      <c r="J44" s="10" t="s">
        <v>114</v>
      </c>
      <c r="K44" s="11" t="s">
        <v>114</v>
      </c>
      <c r="L44" s="11">
        <v>1.212970917856077</v>
      </c>
      <c r="M44" s="11">
        <v>8.0890353898537359</v>
      </c>
      <c r="N44" s="11">
        <v>73.237707034686807</v>
      </c>
      <c r="O44" s="10">
        <v>84.398622876404914</v>
      </c>
      <c r="P44" s="10">
        <v>3.6738344479347269E-2</v>
      </c>
      <c r="Q44" s="11">
        <v>0.93601835865427674</v>
      </c>
      <c r="R44" s="11">
        <v>0.31693528098481571</v>
      </c>
      <c r="S44" s="10">
        <v>0.26508044768986067</v>
      </c>
      <c r="T44" s="11">
        <v>295.05412320234012</v>
      </c>
      <c r="U44" s="10">
        <v>278.94550785400145</v>
      </c>
      <c r="V44" s="10" t="s">
        <v>114</v>
      </c>
      <c r="W44" s="10" t="s">
        <v>114</v>
      </c>
      <c r="X44" s="10">
        <v>0.1710472872990427</v>
      </c>
      <c r="Y44" s="11">
        <v>210.68947837645277</v>
      </c>
      <c r="Z44" s="10" t="s">
        <v>114</v>
      </c>
      <c r="AA44" s="10" t="s">
        <v>114</v>
      </c>
      <c r="AB44" s="10" t="s">
        <v>114</v>
      </c>
      <c r="AC44" s="10" t="s">
        <v>114</v>
      </c>
      <c r="AD44" s="10" t="s">
        <v>114</v>
      </c>
      <c r="AE44" s="10" t="s">
        <v>114</v>
      </c>
      <c r="AF44" s="10">
        <v>2.5620968763087407E-3</v>
      </c>
      <c r="AG44" s="11">
        <v>1.8319206852257497</v>
      </c>
      <c r="AH44" s="11">
        <v>9.3666689849562973E-2</v>
      </c>
      <c r="AI44" s="11">
        <v>0.20495187614952093</v>
      </c>
      <c r="AJ44" s="11">
        <v>2.1063362633003745E-2</v>
      </c>
      <c r="AK44" s="11">
        <v>9.6275001369737656E-2</v>
      </c>
      <c r="AL44" s="11">
        <v>2.1228977767131348E-2</v>
      </c>
      <c r="AM44" s="11">
        <v>3.8428408795086045E-3</v>
      </c>
      <c r="AN44" s="11">
        <v>2.196683303913307E-2</v>
      </c>
      <c r="AO44" s="11">
        <v>4.2433544333075959E-3</v>
      </c>
      <c r="AP44" s="11">
        <v>1.3987045026274613E-2</v>
      </c>
      <c r="AQ44" s="11" t="s">
        <v>114</v>
      </c>
      <c r="AR44" s="11" t="s">
        <v>114</v>
      </c>
      <c r="AS44" s="11" t="s">
        <v>114</v>
      </c>
      <c r="AT44" s="11" t="s">
        <v>114</v>
      </c>
      <c r="AU44" s="11" t="s">
        <v>114</v>
      </c>
      <c r="AV44" s="10" t="s">
        <v>114</v>
      </c>
      <c r="AW44" s="10" t="s">
        <v>114</v>
      </c>
      <c r="AX44" s="10" t="s">
        <v>114</v>
      </c>
      <c r="AY44" s="10" t="s">
        <v>114</v>
      </c>
      <c r="AZ44" s="10">
        <v>2.3098775897426402</v>
      </c>
      <c r="BA44" s="10">
        <v>2.0668735642410407</v>
      </c>
      <c r="BB44" s="11">
        <v>2.1682625377737712</v>
      </c>
      <c r="BC44" s="11" t="s">
        <v>114</v>
      </c>
      <c r="BD44" s="11">
        <v>9.4055389690339039E-2</v>
      </c>
    </row>
    <row r="45" spans="1:56" x14ac:dyDescent="0.3">
      <c r="A45" t="s">
        <v>156</v>
      </c>
      <c r="B45" t="s">
        <v>62</v>
      </c>
      <c r="C45" s="10">
        <v>5836.0691358842287</v>
      </c>
      <c r="D45" s="11">
        <v>3298.0378636134515</v>
      </c>
      <c r="E45" s="10">
        <v>12.244311801696245</v>
      </c>
      <c r="F45" s="10">
        <v>180977.05659182361</v>
      </c>
      <c r="G45" s="10">
        <v>164.32181834234927</v>
      </c>
      <c r="H45" s="10">
        <v>393313.76674345363</v>
      </c>
      <c r="I45" s="11">
        <v>381141.81156266871</v>
      </c>
      <c r="J45" s="10" t="s">
        <v>114</v>
      </c>
      <c r="K45" s="11" t="s">
        <v>114</v>
      </c>
      <c r="L45" s="11">
        <v>0.70345652406175774</v>
      </c>
      <c r="M45" s="11">
        <v>17.210078864137454</v>
      </c>
      <c r="N45" s="11">
        <v>38.622397546975279</v>
      </c>
      <c r="O45" s="10">
        <v>50.723622930995404</v>
      </c>
      <c r="P45" s="10">
        <v>0.91496925802782303</v>
      </c>
      <c r="Q45" s="11">
        <v>148.80124058434669</v>
      </c>
      <c r="R45" s="11">
        <v>3.9505881961470335</v>
      </c>
      <c r="S45" s="10">
        <v>4.1036529553117518</v>
      </c>
      <c r="T45" s="11">
        <v>169.77379002687036</v>
      </c>
      <c r="U45" s="10">
        <v>161.14282732527124</v>
      </c>
      <c r="V45" s="10" t="s">
        <v>114</v>
      </c>
      <c r="W45" s="10" t="s">
        <v>114</v>
      </c>
      <c r="X45" s="10" t="s">
        <v>114</v>
      </c>
      <c r="Y45" s="11">
        <v>130.41444673632142</v>
      </c>
      <c r="Z45" s="10">
        <v>0.16635267120403807</v>
      </c>
      <c r="AA45" s="10" t="s">
        <v>114</v>
      </c>
      <c r="AB45" s="10" t="s">
        <v>114</v>
      </c>
      <c r="AC45" s="10" t="s">
        <v>114</v>
      </c>
      <c r="AD45" s="10" t="s">
        <v>114</v>
      </c>
      <c r="AE45" s="10" t="s">
        <v>114</v>
      </c>
      <c r="AF45" s="10">
        <v>2.725493015706704E-3</v>
      </c>
      <c r="AG45" s="11">
        <v>9.4164238487254561</v>
      </c>
      <c r="AH45" s="11">
        <v>0.60242155248858897</v>
      </c>
      <c r="AI45" s="11">
        <v>1.6952550469718592</v>
      </c>
      <c r="AJ45" s="11">
        <v>0.13351661706215939</v>
      </c>
      <c r="AK45" s="11">
        <v>0.59527953105562281</v>
      </c>
      <c r="AL45" s="11">
        <v>0.13351469441775188</v>
      </c>
      <c r="AM45" s="11">
        <v>3.2482164998604963E-2</v>
      </c>
      <c r="AN45" s="11">
        <v>0.14972983899955816</v>
      </c>
      <c r="AO45" s="11">
        <v>2.6060955059839359E-2</v>
      </c>
      <c r="AP45" s="11">
        <v>0.14659531783837265</v>
      </c>
      <c r="AQ45" s="11">
        <v>3.1042489852359828E-2</v>
      </c>
      <c r="AR45" s="11">
        <v>8.8282510671980119E-2</v>
      </c>
      <c r="AS45" s="11">
        <v>1.4032958212515025E-2</v>
      </c>
      <c r="AT45" s="11">
        <v>6.0390276974037135E-2</v>
      </c>
      <c r="AU45" s="11">
        <v>1.2797699335087964E-2</v>
      </c>
      <c r="AV45" s="10" t="s">
        <v>114</v>
      </c>
      <c r="AW45" s="10" t="s">
        <v>114</v>
      </c>
      <c r="AX45" s="10" t="s">
        <v>114</v>
      </c>
      <c r="AY45" s="10">
        <v>7.7581227806681318E-3</v>
      </c>
      <c r="AZ45" s="10">
        <v>3.6043965071871749</v>
      </c>
      <c r="BA45" s="10">
        <v>3.2610351629882008</v>
      </c>
      <c r="BB45" s="11">
        <v>3.4032120196666433</v>
      </c>
      <c r="BC45" s="11" t="s">
        <v>114</v>
      </c>
      <c r="BD45" s="11">
        <v>9.584472126390195E-2</v>
      </c>
    </row>
    <row r="46" spans="1:56" x14ac:dyDescent="0.3">
      <c r="A46" t="s">
        <v>157</v>
      </c>
      <c r="B46" t="s">
        <v>62</v>
      </c>
      <c r="C46" s="10">
        <v>5958.1166170909619</v>
      </c>
      <c r="D46" s="11">
        <v>2513.2133229148676</v>
      </c>
      <c r="E46" s="10">
        <v>43.875743030032922</v>
      </c>
      <c r="F46" s="10">
        <v>175553.06479267997</v>
      </c>
      <c r="G46" s="10">
        <v>145.86423770996441</v>
      </c>
      <c r="H46" s="10">
        <v>386915.30380933633</v>
      </c>
      <c r="I46" s="11">
        <v>376061.83935517154</v>
      </c>
      <c r="J46" s="10" t="s">
        <v>114</v>
      </c>
      <c r="K46" s="11">
        <v>0.25589981291708108</v>
      </c>
      <c r="L46" s="11">
        <v>0.9604807062885693</v>
      </c>
      <c r="M46" s="11">
        <v>32.988370171446924</v>
      </c>
      <c r="N46" s="11">
        <v>153.76108203765233</v>
      </c>
      <c r="O46" s="10">
        <v>168.4525681610867</v>
      </c>
      <c r="P46" s="10">
        <v>0.2573146664624375</v>
      </c>
      <c r="Q46" s="11">
        <v>4.863453048841353</v>
      </c>
      <c r="R46" s="11">
        <v>3.6344894224530977</v>
      </c>
      <c r="S46" s="10">
        <v>3.7369458641178319</v>
      </c>
      <c r="T46" s="11">
        <v>377.88257650213944</v>
      </c>
      <c r="U46" s="10">
        <v>359.8618539217299</v>
      </c>
      <c r="V46" s="10" t="s">
        <v>114</v>
      </c>
      <c r="W46" s="10" t="s">
        <v>114</v>
      </c>
      <c r="X46" s="10" t="s">
        <v>114</v>
      </c>
      <c r="Y46" s="11">
        <v>302.53695403980936</v>
      </c>
      <c r="Z46" s="10">
        <v>0.53026748082967168</v>
      </c>
      <c r="AA46" s="10" t="s">
        <v>114</v>
      </c>
      <c r="AB46" s="10" t="s">
        <v>114</v>
      </c>
      <c r="AC46" s="10">
        <v>2.209434833184977E-2</v>
      </c>
      <c r="AD46" s="10" t="s">
        <v>114</v>
      </c>
      <c r="AE46" s="10" t="s">
        <v>114</v>
      </c>
      <c r="AF46" s="10">
        <v>5.2587717956079265E-3</v>
      </c>
      <c r="AG46" s="11">
        <v>7.8606459933650532</v>
      </c>
      <c r="AH46" s="11">
        <v>0.85626682978070667</v>
      </c>
      <c r="AI46" s="11">
        <v>1.9411795291219254</v>
      </c>
      <c r="AJ46" s="11">
        <v>0.18129089376005633</v>
      </c>
      <c r="AK46" s="11">
        <v>0.79819258286289474</v>
      </c>
      <c r="AL46" s="11">
        <v>0.16180890422216898</v>
      </c>
      <c r="AM46" s="11">
        <v>4.1644173159119773E-2</v>
      </c>
      <c r="AN46" s="11">
        <v>0.17680724850280202</v>
      </c>
      <c r="AO46" s="11">
        <v>2.9711953705259028E-2</v>
      </c>
      <c r="AP46" s="11">
        <v>0.16640513896853268</v>
      </c>
      <c r="AQ46" s="11">
        <v>3.8805370863490708E-2</v>
      </c>
      <c r="AR46" s="11">
        <v>9.6255815046182677E-2</v>
      </c>
      <c r="AS46" s="11">
        <v>1.5499569193398163E-2</v>
      </c>
      <c r="AT46" s="11">
        <v>9.8061799425145771E-2</v>
      </c>
      <c r="AU46" s="11">
        <v>9.9505749072626316E-3</v>
      </c>
      <c r="AV46" s="10" t="s">
        <v>114</v>
      </c>
      <c r="AW46" s="10" t="s">
        <v>114</v>
      </c>
      <c r="AX46" s="10" t="s">
        <v>114</v>
      </c>
      <c r="AY46" s="10">
        <v>6.5200923414389022E-3</v>
      </c>
      <c r="AZ46" s="10">
        <v>13.78853909530565</v>
      </c>
      <c r="BA46" s="10">
        <v>12.381832666415187</v>
      </c>
      <c r="BB46" s="11">
        <v>12.890668794110709</v>
      </c>
      <c r="BC46" s="11" t="s">
        <v>114</v>
      </c>
      <c r="BD46" s="11">
        <v>1.2805136008573073</v>
      </c>
    </row>
    <row r="47" spans="1:56" x14ac:dyDescent="0.3">
      <c r="A47" t="s">
        <v>158</v>
      </c>
      <c r="B47" t="s">
        <v>62</v>
      </c>
      <c r="C47" s="10">
        <v>4980.0442685793041</v>
      </c>
      <c r="D47" s="11">
        <v>2179.4586212978602</v>
      </c>
      <c r="E47" s="10">
        <v>93.022892833320284</v>
      </c>
      <c r="F47" s="10">
        <v>148576.97438150618</v>
      </c>
      <c r="G47" s="10">
        <v>213.97324405271792</v>
      </c>
      <c r="H47" s="10">
        <v>323677.99919469166</v>
      </c>
      <c r="I47" s="11">
        <v>312328.6504026521</v>
      </c>
      <c r="J47" s="10">
        <v>87.599357232413212</v>
      </c>
      <c r="K47" s="11">
        <v>0.60517790067572808</v>
      </c>
      <c r="L47" s="11">
        <v>3.0167309909952031</v>
      </c>
      <c r="M47" s="11">
        <v>29.141560516618654</v>
      </c>
      <c r="N47" s="11">
        <v>111.60200256847045</v>
      </c>
      <c r="O47" s="10">
        <v>123.33620443934386</v>
      </c>
      <c r="P47" s="10">
        <v>5.3973926078760384</v>
      </c>
      <c r="Q47" s="11">
        <v>520.98992579806236</v>
      </c>
      <c r="R47" s="11">
        <v>1.2906040403176773</v>
      </c>
      <c r="S47" s="10">
        <v>1.3784931455582745</v>
      </c>
      <c r="T47" s="11">
        <v>343.96322732234324</v>
      </c>
      <c r="U47" s="10">
        <v>325.74955657887762</v>
      </c>
      <c r="V47" s="10" t="s">
        <v>114</v>
      </c>
      <c r="W47" s="10" t="s">
        <v>114</v>
      </c>
      <c r="X47" s="10">
        <v>0.11295541922956284</v>
      </c>
      <c r="Y47" s="11">
        <v>144.18278044726546</v>
      </c>
      <c r="Z47" s="10">
        <v>0.18034353102704048</v>
      </c>
      <c r="AA47" s="10" t="s">
        <v>114</v>
      </c>
      <c r="AB47" s="10" t="s">
        <v>114</v>
      </c>
      <c r="AC47" s="10" t="s">
        <v>114</v>
      </c>
      <c r="AD47" s="10" t="s">
        <v>114</v>
      </c>
      <c r="AE47" s="10" t="s">
        <v>114</v>
      </c>
      <c r="AF47" s="10">
        <v>5.7859681431951656E-3</v>
      </c>
      <c r="AG47" s="11">
        <v>4.6517898314383368</v>
      </c>
      <c r="AH47" s="11">
        <v>0.48784890969890116</v>
      </c>
      <c r="AI47" s="11">
        <v>1.1282878485208572</v>
      </c>
      <c r="AJ47" s="11">
        <v>0.10497733450975111</v>
      </c>
      <c r="AK47" s="11">
        <v>0.47547879162677897</v>
      </c>
      <c r="AL47" s="11">
        <v>9.8670074951593273E-2</v>
      </c>
      <c r="AM47" s="11">
        <v>2.6930074176112019E-2</v>
      </c>
      <c r="AN47" s="11">
        <v>0.10994370186425308</v>
      </c>
      <c r="AO47" s="11">
        <v>1.9028936847171055E-2</v>
      </c>
      <c r="AP47" s="11">
        <v>9.5091406739148066E-2</v>
      </c>
      <c r="AQ47" s="11">
        <v>2.3250609302502018E-2</v>
      </c>
      <c r="AR47" s="11">
        <v>6.2570358559870282E-2</v>
      </c>
      <c r="AS47" s="11">
        <v>1.0034253282770264E-2</v>
      </c>
      <c r="AT47" s="11">
        <v>5.8340984510284646E-2</v>
      </c>
      <c r="AU47" s="11">
        <v>8.9580180499236398E-3</v>
      </c>
      <c r="AV47" s="10" t="s">
        <v>114</v>
      </c>
      <c r="AW47" s="10" t="s">
        <v>114</v>
      </c>
      <c r="AX47" s="10" t="s">
        <v>114</v>
      </c>
      <c r="AY47" s="10" t="s">
        <v>114</v>
      </c>
      <c r="AZ47" s="10">
        <v>4.7262075744888365</v>
      </c>
      <c r="BA47" s="10">
        <v>4.1535706694398611</v>
      </c>
      <c r="BB47" s="11">
        <v>4.3658798524419726</v>
      </c>
      <c r="BC47" s="11" t="s">
        <v>114</v>
      </c>
      <c r="BD47" s="11">
        <v>0.73622154418143437</v>
      </c>
    </row>
    <row r="48" spans="1:56" x14ac:dyDescent="0.3">
      <c r="A48" t="s">
        <v>159</v>
      </c>
      <c r="B48" t="s">
        <v>62</v>
      </c>
      <c r="C48" s="10">
        <v>7003.9165731738858</v>
      </c>
      <c r="D48" s="11">
        <v>3030.5672277024546</v>
      </c>
      <c r="E48" s="10">
        <v>15.51584348102535</v>
      </c>
      <c r="F48" s="10">
        <v>165534.62066661261</v>
      </c>
      <c r="G48" s="10">
        <v>190.74965140905832</v>
      </c>
      <c r="H48" s="10">
        <v>360707.47356869798</v>
      </c>
      <c r="I48" s="11">
        <v>347567.83130281005</v>
      </c>
      <c r="J48" s="10">
        <v>12.462866063429562</v>
      </c>
      <c r="K48" s="11">
        <v>0.26643576126148061</v>
      </c>
      <c r="L48" s="11">
        <v>1.448436380900229</v>
      </c>
      <c r="M48" s="11">
        <v>11.296456805747322</v>
      </c>
      <c r="N48" s="11">
        <v>21.905013688557311</v>
      </c>
      <c r="O48" s="10">
        <v>32.97467996543525</v>
      </c>
      <c r="P48" s="10">
        <v>8.2974862398641172E-2</v>
      </c>
      <c r="Q48" s="11">
        <v>1.0662920283935196</v>
      </c>
      <c r="R48" s="11">
        <v>1.7189568594697962</v>
      </c>
      <c r="S48" s="10">
        <v>1.7293471151149999</v>
      </c>
      <c r="T48" s="11">
        <v>121.17548197598157</v>
      </c>
      <c r="U48" s="10">
        <v>113.75202857025856</v>
      </c>
      <c r="V48" s="10" t="s">
        <v>114</v>
      </c>
      <c r="W48" s="10" t="s">
        <v>114</v>
      </c>
      <c r="X48" s="10" t="s">
        <v>114</v>
      </c>
      <c r="Y48" s="11">
        <v>190.31631014199408</v>
      </c>
      <c r="Z48" s="10" t="s">
        <v>114</v>
      </c>
      <c r="AA48" s="10" t="s">
        <v>114</v>
      </c>
      <c r="AB48" s="10" t="s">
        <v>114</v>
      </c>
      <c r="AC48" s="10" t="s">
        <v>114</v>
      </c>
      <c r="AD48" s="10" t="s">
        <v>114</v>
      </c>
      <c r="AE48" s="10" t="s">
        <v>114</v>
      </c>
      <c r="AF48" s="10">
        <v>2.1485609307747441E-3</v>
      </c>
      <c r="AG48" s="11">
        <v>3.2565160789036298</v>
      </c>
      <c r="AH48" s="11">
        <v>0.20042034950478502</v>
      </c>
      <c r="AI48" s="11">
        <v>0.54076764097752439</v>
      </c>
      <c r="AJ48" s="11">
        <v>4.6677046786391577E-2</v>
      </c>
      <c r="AK48" s="11">
        <v>0.21464730773354651</v>
      </c>
      <c r="AL48" s="11">
        <v>6.3453950014008303E-2</v>
      </c>
      <c r="AM48" s="11">
        <v>1.0945055914615144E-2</v>
      </c>
      <c r="AN48" s="11">
        <v>4.3098091397677389E-2</v>
      </c>
      <c r="AO48" s="11">
        <v>6.124878513431008E-3</v>
      </c>
      <c r="AP48" s="11">
        <v>3.9014345538185419E-2</v>
      </c>
      <c r="AQ48" s="11">
        <v>8.6628327540015475E-3</v>
      </c>
      <c r="AR48" s="11">
        <v>1.432106474876961E-2</v>
      </c>
      <c r="AS48" s="11">
        <v>3.6193533673449341E-3</v>
      </c>
      <c r="AT48" s="11">
        <v>1.371767422487314E-2</v>
      </c>
      <c r="AU48" s="11" t="s">
        <v>114</v>
      </c>
      <c r="AV48" s="10" t="s">
        <v>114</v>
      </c>
      <c r="AW48" s="10" t="s">
        <v>114</v>
      </c>
      <c r="AX48" s="10" t="s">
        <v>114</v>
      </c>
      <c r="AY48" s="10">
        <v>8.4465622038120206E-3</v>
      </c>
      <c r="AZ48" s="10">
        <v>0.66455720269853347</v>
      </c>
      <c r="BA48" s="10">
        <v>0.6050768060773507</v>
      </c>
      <c r="BB48" s="11">
        <v>0.62625122499506414</v>
      </c>
      <c r="BC48" s="11" t="s">
        <v>114</v>
      </c>
      <c r="BD48" s="11">
        <v>0.1731721720828239</v>
      </c>
    </row>
    <row r="49" spans="1:56" x14ac:dyDescent="0.3">
      <c r="A49" t="s">
        <v>160</v>
      </c>
      <c r="B49" t="s">
        <v>62</v>
      </c>
      <c r="C49" s="10">
        <v>8844.6521431003785</v>
      </c>
      <c r="D49" s="11">
        <v>3774.6067887656691</v>
      </c>
      <c r="E49" s="10">
        <v>35.082031262950863</v>
      </c>
      <c r="F49" s="10">
        <v>179765.79044843002</v>
      </c>
      <c r="G49" s="10">
        <v>226.11875594466235</v>
      </c>
      <c r="H49" s="10">
        <v>392671.36484930641</v>
      </c>
      <c r="I49" s="11">
        <v>379419.97425227892</v>
      </c>
      <c r="J49" s="10" t="s">
        <v>114</v>
      </c>
      <c r="K49" s="11">
        <v>0.67439854064725446</v>
      </c>
      <c r="L49" s="11">
        <v>1.1954775229450207</v>
      </c>
      <c r="M49" s="11">
        <v>21.985425090965997</v>
      </c>
      <c r="N49" s="11">
        <v>65.935144358423258</v>
      </c>
      <c r="O49" s="10">
        <v>80.692413414050733</v>
      </c>
      <c r="P49" s="10">
        <v>0.19972531205801308</v>
      </c>
      <c r="Q49" s="11">
        <v>3.1193249623823291</v>
      </c>
      <c r="R49" s="11">
        <v>3.9586817557945011</v>
      </c>
      <c r="S49" s="10">
        <v>3.7169749136215313</v>
      </c>
      <c r="T49" s="11">
        <v>90.08256880477964</v>
      </c>
      <c r="U49" s="10">
        <v>85.984710134436696</v>
      </c>
      <c r="V49" s="10" t="s">
        <v>114</v>
      </c>
      <c r="W49" s="10" t="s">
        <v>114</v>
      </c>
      <c r="X49" s="10">
        <v>0.15835211578504452</v>
      </c>
      <c r="Y49" s="11">
        <v>352.47016551223686</v>
      </c>
      <c r="Z49" s="10">
        <v>0.176777449012675</v>
      </c>
      <c r="AA49" s="10" t="s">
        <v>114</v>
      </c>
      <c r="AB49" s="10" t="s">
        <v>114</v>
      </c>
      <c r="AC49" s="10" t="s">
        <v>114</v>
      </c>
      <c r="AD49" s="10" t="s">
        <v>114</v>
      </c>
      <c r="AE49" s="10" t="s">
        <v>114</v>
      </c>
      <c r="AF49" s="10">
        <v>4.9327545178735437E-3</v>
      </c>
      <c r="AG49" s="11">
        <v>6.6619597928945113</v>
      </c>
      <c r="AH49" s="11">
        <v>0.25400711610906124</v>
      </c>
      <c r="AI49" s="11">
        <v>0.68251443338305906</v>
      </c>
      <c r="AJ49" s="11">
        <v>5.535733688441858E-2</v>
      </c>
      <c r="AK49" s="11">
        <v>0.25698534210190199</v>
      </c>
      <c r="AL49" s="11">
        <v>4.759853147665398E-2</v>
      </c>
      <c r="AM49" s="11">
        <v>1.4576132168653878E-2</v>
      </c>
      <c r="AN49" s="11">
        <v>5.4769580646038991E-2</v>
      </c>
      <c r="AO49" s="11">
        <v>1.1822724913756247E-2</v>
      </c>
      <c r="AP49" s="11">
        <v>5.9181985883235151E-2</v>
      </c>
      <c r="AQ49" s="11">
        <v>1.1045102275889609E-2</v>
      </c>
      <c r="AR49" s="11">
        <v>3.6443640981718574E-2</v>
      </c>
      <c r="AS49" s="11">
        <v>4.7161973616060317E-3</v>
      </c>
      <c r="AT49" s="11">
        <v>2.26901861143642E-2</v>
      </c>
      <c r="AU49" s="11">
        <v>3.4216959008731528E-3</v>
      </c>
      <c r="AV49" s="10" t="s">
        <v>114</v>
      </c>
      <c r="AW49" s="10" t="s">
        <v>114</v>
      </c>
      <c r="AX49" s="10" t="s">
        <v>114</v>
      </c>
      <c r="AY49" s="10">
        <v>6.729385437697924E-3</v>
      </c>
      <c r="AZ49" s="10">
        <v>0.90423949850991003</v>
      </c>
      <c r="BA49" s="10">
        <v>0.78074445117269853</v>
      </c>
      <c r="BB49" s="11">
        <v>0.840391698580916</v>
      </c>
      <c r="BC49" s="11" t="s">
        <v>114</v>
      </c>
      <c r="BD49" s="11">
        <v>0.18232611449186858</v>
      </c>
    </row>
    <row r="50" spans="1:56" x14ac:dyDescent="0.3">
      <c r="A50" t="s">
        <v>161</v>
      </c>
      <c r="B50" t="s">
        <v>62</v>
      </c>
      <c r="C50" s="10">
        <v>6049.9050409148831</v>
      </c>
      <c r="D50" s="11">
        <v>2464.2185707450471</v>
      </c>
      <c r="E50" s="10">
        <v>23.693079067028044</v>
      </c>
      <c r="F50" s="10">
        <v>189337.71171720157</v>
      </c>
      <c r="G50" s="10">
        <v>212.17523914109518</v>
      </c>
      <c r="H50" s="10">
        <v>413266.70286536834</v>
      </c>
      <c r="I50" s="11">
        <v>401047.62719563983</v>
      </c>
      <c r="J50" s="10" t="s">
        <v>114</v>
      </c>
      <c r="K50" s="11" t="s">
        <v>114</v>
      </c>
      <c r="L50" s="11">
        <v>0.71601563987486871</v>
      </c>
      <c r="M50" s="11">
        <v>7.8575619286002256</v>
      </c>
      <c r="N50" s="11">
        <v>27.53958848340837</v>
      </c>
      <c r="O50" s="10">
        <v>42.330543489712028</v>
      </c>
      <c r="P50" s="10" t="s">
        <v>114</v>
      </c>
      <c r="Q50" s="11">
        <v>0.92908953324413401</v>
      </c>
      <c r="R50" s="11">
        <v>0.28880237248665019</v>
      </c>
      <c r="S50" s="10">
        <v>0.32841930632382116</v>
      </c>
      <c r="T50" s="11">
        <v>359.82868727100185</v>
      </c>
      <c r="U50" s="10">
        <v>345.58937879741632</v>
      </c>
      <c r="V50" s="10" t="s">
        <v>114</v>
      </c>
      <c r="W50" s="10" t="s">
        <v>114</v>
      </c>
      <c r="X50" s="10">
        <v>0.20665643347069432</v>
      </c>
      <c r="Y50" s="11">
        <v>325.17115701837997</v>
      </c>
      <c r="Z50" s="10" t="s">
        <v>114</v>
      </c>
      <c r="AA50" s="10" t="s">
        <v>114</v>
      </c>
      <c r="AB50" s="10" t="s">
        <v>114</v>
      </c>
      <c r="AC50" s="10" t="s">
        <v>114</v>
      </c>
      <c r="AD50" s="10" t="s">
        <v>114</v>
      </c>
      <c r="AE50" s="10" t="s">
        <v>114</v>
      </c>
      <c r="AF50" s="10">
        <v>2.9243965417773072E-3</v>
      </c>
      <c r="AG50" s="11">
        <v>2.3358729776433025</v>
      </c>
      <c r="AH50" s="11">
        <v>0.49874355010035171</v>
      </c>
      <c r="AI50" s="11">
        <v>1.1954342241294103</v>
      </c>
      <c r="AJ50" s="11">
        <v>0.10505982402340168</v>
      </c>
      <c r="AK50" s="11">
        <v>0.49041534711690676</v>
      </c>
      <c r="AL50" s="11">
        <v>0.1046333049611131</v>
      </c>
      <c r="AM50" s="11">
        <v>2.8328462779650884E-2</v>
      </c>
      <c r="AN50" s="11">
        <v>9.9621958689644602E-2</v>
      </c>
      <c r="AO50" s="11">
        <v>2.090418443033468E-2</v>
      </c>
      <c r="AP50" s="11">
        <v>0.10913695983780076</v>
      </c>
      <c r="AQ50" s="11">
        <v>2.053386308906803E-2</v>
      </c>
      <c r="AR50" s="11">
        <v>6.5026588041718E-2</v>
      </c>
      <c r="AS50" s="11">
        <v>8.3728671755730812E-3</v>
      </c>
      <c r="AT50" s="11">
        <v>4.9985371473160803E-2</v>
      </c>
      <c r="AU50" s="11">
        <v>7.2101275272561452E-3</v>
      </c>
      <c r="AV50" s="10" t="s">
        <v>114</v>
      </c>
      <c r="AW50" s="10" t="s">
        <v>114</v>
      </c>
      <c r="AX50" s="10" t="s">
        <v>114</v>
      </c>
      <c r="AY50" s="10" t="s">
        <v>114</v>
      </c>
      <c r="AZ50" s="10">
        <v>2.4015634949576894</v>
      </c>
      <c r="BA50" s="10">
        <v>2.1247748135794997</v>
      </c>
      <c r="BB50" s="11">
        <v>2.2430442087895583</v>
      </c>
      <c r="BC50" s="11" t="s">
        <v>114</v>
      </c>
      <c r="BD50" s="11">
        <v>6.2551313256363331E-2</v>
      </c>
    </row>
    <row r="51" spans="1:56" x14ac:dyDescent="0.3">
      <c r="A51" t="s">
        <v>162</v>
      </c>
      <c r="B51" t="s">
        <v>62</v>
      </c>
      <c r="C51" s="10">
        <v>6402.1208999695336</v>
      </c>
      <c r="D51" s="11">
        <v>2346.5453741558931</v>
      </c>
      <c r="E51" s="10">
        <v>27.167252310872158</v>
      </c>
      <c r="F51" s="10">
        <v>161572.03671061457</v>
      </c>
      <c r="G51" s="10">
        <v>203.81590848543453</v>
      </c>
      <c r="H51" s="10">
        <v>353267.68831567996</v>
      </c>
      <c r="I51" s="11">
        <v>341647.49493919779</v>
      </c>
      <c r="J51" s="10">
        <v>26.35731783698435</v>
      </c>
      <c r="K51" s="11" t="s">
        <v>114</v>
      </c>
      <c r="L51" s="11">
        <v>1.1249721792224903</v>
      </c>
      <c r="M51" s="11">
        <v>10.45890226964119</v>
      </c>
      <c r="N51" s="11">
        <v>20.257880904713833</v>
      </c>
      <c r="O51" s="10">
        <v>32.686981321618141</v>
      </c>
      <c r="P51" s="10" t="s">
        <v>114</v>
      </c>
      <c r="Q51" s="11">
        <v>2.2415067023637048</v>
      </c>
      <c r="R51" s="11">
        <v>0.55451210817948826</v>
      </c>
      <c r="S51" s="10">
        <v>0.48989926296865166</v>
      </c>
      <c r="T51" s="11">
        <v>171.4392961828953</v>
      </c>
      <c r="U51" s="10">
        <v>163.31016257373238</v>
      </c>
      <c r="V51" s="10" t="s">
        <v>114</v>
      </c>
      <c r="W51" s="10" t="s">
        <v>114</v>
      </c>
      <c r="X51" s="10">
        <v>0.13635234886196337</v>
      </c>
      <c r="Y51" s="11">
        <v>120.39400685240295</v>
      </c>
      <c r="Z51" s="10">
        <v>0.43481368884532684</v>
      </c>
      <c r="AA51" s="10" t="s">
        <v>114</v>
      </c>
      <c r="AB51" s="10" t="s">
        <v>114</v>
      </c>
      <c r="AC51" s="10" t="s">
        <v>114</v>
      </c>
      <c r="AD51" s="10" t="s">
        <v>114</v>
      </c>
      <c r="AE51" s="10" t="s">
        <v>114</v>
      </c>
      <c r="AF51" s="10">
        <v>4.565335683544159E-3</v>
      </c>
      <c r="AG51" s="11">
        <v>2.0674553906775217</v>
      </c>
      <c r="AH51" s="11">
        <v>0.20607092378334485</v>
      </c>
      <c r="AI51" s="11">
        <v>0.60803630844858969</v>
      </c>
      <c r="AJ51" s="11">
        <v>4.974844959988544E-2</v>
      </c>
      <c r="AK51" s="11">
        <v>0.21846963493149926</v>
      </c>
      <c r="AL51" s="11">
        <v>4.4940748022357056E-2</v>
      </c>
      <c r="AM51" s="11">
        <v>1.3503253786325969E-2</v>
      </c>
      <c r="AN51" s="11">
        <v>5.1644870330676947E-2</v>
      </c>
      <c r="AO51" s="11">
        <v>7.2994977517571611E-3</v>
      </c>
      <c r="AP51" s="11">
        <v>4.6373469405659611E-2</v>
      </c>
      <c r="AQ51" s="11">
        <v>1.0052866743578668E-2</v>
      </c>
      <c r="AR51" s="11">
        <v>2.9111791564198831E-2</v>
      </c>
      <c r="AS51" s="11">
        <v>3.4706336469862383E-3</v>
      </c>
      <c r="AT51" s="11">
        <v>2.6475593263892618E-2</v>
      </c>
      <c r="AU51" s="11">
        <v>2.6787028419923836E-3</v>
      </c>
      <c r="AV51" s="10">
        <v>0.2673475602761507</v>
      </c>
      <c r="AW51" s="10">
        <v>0.67992027654171283</v>
      </c>
      <c r="AX51" s="10" t="s">
        <v>114</v>
      </c>
      <c r="AY51" s="10">
        <v>8.4012787339382868E-3</v>
      </c>
      <c r="AZ51" s="10">
        <v>1.1986935054144363</v>
      </c>
      <c r="BA51" s="10">
        <v>1.1202939822384546</v>
      </c>
      <c r="BB51" s="11">
        <v>1.1542720058860294</v>
      </c>
      <c r="BC51" s="11">
        <v>0.30743917627026901</v>
      </c>
      <c r="BD51" s="11">
        <v>0.29436113253851109</v>
      </c>
    </row>
    <row r="52" spans="1:56" x14ac:dyDescent="0.3">
      <c r="A52" t="s">
        <v>163</v>
      </c>
      <c r="B52" t="s">
        <v>62</v>
      </c>
      <c r="C52" s="10">
        <v>5599.9743302147244</v>
      </c>
      <c r="D52" s="11">
        <v>2539.8099372431939</v>
      </c>
      <c r="E52" s="10">
        <v>75.239552355460944</v>
      </c>
      <c r="F52" s="10">
        <v>128467.87332524914</v>
      </c>
      <c r="G52" s="10">
        <v>250.8064484613856</v>
      </c>
      <c r="H52" s="10">
        <v>285150.97802180843</v>
      </c>
      <c r="I52" s="11">
        <v>274702.72530719504</v>
      </c>
      <c r="J52" s="10">
        <v>62.924450367938647</v>
      </c>
      <c r="K52" s="11">
        <v>1.2554103944183135</v>
      </c>
      <c r="L52" s="11">
        <v>2.2700378732046111</v>
      </c>
      <c r="M52" s="11">
        <v>15.02670503225424</v>
      </c>
      <c r="N52" s="11">
        <v>118.04260618673018</v>
      </c>
      <c r="O52" s="10">
        <v>123.65833780281257</v>
      </c>
      <c r="P52" s="10">
        <v>0.13933980201669099</v>
      </c>
      <c r="Q52" s="11">
        <v>3.2409091173524831</v>
      </c>
      <c r="R52" s="11">
        <v>4.3654020157743334</v>
      </c>
      <c r="S52" s="10">
        <v>4.3369201536913744</v>
      </c>
      <c r="T52" s="11">
        <v>83.057777701872595</v>
      </c>
      <c r="U52" s="10">
        <v>80.521290119915079</v>
      </c>
      <c r="V52" s="10">
        <v>1.1714676236336361</v>
      </c>
      <c r="W52" s="10" t="s">
        <v>114</v>
      </c>
      <c r="X52" s="10">
        <v>0.16056073465828188</v>
      </c>
      <c r="Y52" s="11">
        <v>122.01583968836016</v>
      </c>
      <c r="Z52" s="10">
        <v>0.51166388320642675</v>
      </c>
      <c r="AA52" s="10" t="s">
        <v>114</v>
      </c>
      <c r="AB52" s="10" t="s">
        <v>114</v>
      </c>
      <c r="AC52" s="10" t="s">
        <v>114</v>
      </c>
      <c r="AD52" s="10" t="s">
        <v>114</v>
      </c>
      <c r="AE52" s="10">
        <v>0.11939172425641695</v>
      </c>
      <c r="AF52" s="10">
        <v>4.9523498685616818E-3</v>
      </c>
      <c r="AG52" s="11">
        <v>12.127576063471878</v>
      </c>
      <c r="AH52" s="11">
        <v>9.1930332813218565E-2</v>
      </c>
      <c r="AI52" s="11">
        <v>0.23333812646885407</v>
      </c>
      <c r="AJ52" s="11">
        <v>2.1470030866841412E-2</v>
      </c>
      <c r="AK52" s="11">
        <v>0.11484285516074703</v>
      </c>
      <c r="AL52" s="11" t="s">
        <v>114</v>
      </c>
      <c r="AM52" s="11">
        <v>3.0159898577154284E-3</v>
      </c>
      <c r="AN52" s="11">
        <v>1.5442801960191254E-2</v>
      </c>
      <c r="AO52" s="11">
        <v>4.225772324899602E-3</v>
      </c>
      <c r="AP52" s="11">
        <v>2.5645812938701364E-2</v>
      </c>
      <c r="AQ52" s="11" t="s">
        <v>114</v>
      </c>
      <c r="AR52" s="11">
        <v>1.4851167020253946E-2</v>
      </c>
      <c r="AS52" s="11" t="s">
        <v>114</v>
      </c>
      <c r="AT52" s="11" t="s">
        <v>114</v>
      </c>
      <c r="AU52" s="11" t="s">
        <v>114</v>
      </c>
      <c r="AV52" s="10">
        <v>0.16223608776939297</v>
      </c>
      <c r="AW52" s="10">
        <v>0.46704180741394435</v>
      </c>
      <c r="AX52" s="10" t="s">
        <v>114</v>
      </c>
      <c r="AY52" s="10" t="s">
        <v>114</v>
      </c>
      <c r="AZ52" s="10">
        <v>0.57049041659431321</v>
      </c>
      <c r="BA52" s="10">
        <v>0.52817057272033519</v>
      </c>
      <c r="BB52" s="11">
        <v>0.53726799944128767</v>
      </c>
      <c r="BC52" s="11">
        <v>0.14730341346844808</v>
      </c>
      <c r="BD52" s="11">
        <v>0.60690962415332883</v>
      </c>
    </row>
    <row r="53" spans="1:56" x14ac:dyDescent="0.3">
      <c r="A53" t="s">
        <v>164</v>
      </c>
      <c r="B53" t="s">
        <v>62</v>
      </c>
      <c r="C53" s="10">
        <v>6518.5997029671735</v>
      </c>
      <c r="D53" s="11">
        <v>1967.009428598707</v>
      </c>
      <c r="E53" s="10">
        <v>79.845292640550284</v>
      </c>
      <c r="F53" s="10">
        <v>160176.64267427207</v>
      </c>
      <c r="G53" s="10" t="s">
        <v>114</v>
      </c>
      <c r="H53" s="10">
        <v>395118.79298797448</v>
      </c>
      <c r="I53" s="11">
        <v>391477.06150842347</v>
      </c>
      <c r="J53" s="10">
        <v>15.307370404362725</v>
      </c>
      <c r="K53" s="11">
        <v>16.79099025941635</v>
      </c>
      <c r="L53" s="11">
        <v>27.203576573037964</v>
      </c>
      <c r="M53" s="11">
        <v>632.6780333094157</v>
      </c>
      <c r="N53" s="11">
        <v>2684.8206152518401</v>
      </c>
      <c r="O53" s="10">
        <v>2688.3833932206871</v>
      </c>
      <c r="P53" s="10">
        <v>5.0006889855318173</v>
      </c>
      <c r="Q53" s="11">
        <v>15.347009400602165</v>
      </c>
      <c r="R53" s="11">
        <v>53.273511199645561</v>
      </c>
      <c r="S53" s="10">
        <v>52.79765878519293</v>
      </c>
      <c r="T53" s="11">
        <v>154.94246019547867</v>
      </c>
      <c r="U53" s="10">
        <v>154.01926299044175</v>
      </c>
      <c r="V53" s="10">
        <v>34.871473397037441</v>
      </c>
      <c r="W53" s="10" t="s">
        <v>114</v>
      </c>
      <c r="X53" s="10" t="s">
        <v>114</v>
      </c>
      <c r="Y53" s="11">
        <v>1534.224326165476</v>
      </c>
      <c r="Z53" s="10">
        <v>7.67275283058013</v>
      </c>
      <c r="AA53" s="10">
        <v>1.401930523850889</v>
      </c>
      <c r="AB53" s="10">
        <v>1.3233276619029957</v>
      </c>
      <c r="AC53" s="10">
        <v>0.31192867942604613</v>
      </c>
      <c r="AD53" s="10" t="s">
        <v>114</v>
      </c>
      <c r="AE53" s="10">
        <v>1.6583009715997838</v>
      </c>
      <c r="AF53" s="10">
        <v>4.1910183210966314E-3</v>
      </c>
      <c r="AG53" s="11">
        <v>165.53675423336895</v>
      </c>
      <c r="AH53" s="11">
        <v>0.73885590875938723</v>
      </c>
      <c r="AI53" s="11">
        <v>1.0960135607386949</v>
      </c>
      <c r="AJ53" s="11">
        <v>0.1029911293411406</v>
      </c>
      <c r="AK53" s="11">
        <v>0.48331662835123734</v>
      </c>
      <c r="AL53" s="11">
        <v>0.11587760215053661</v>
      </c>
      <c r="AM53" s="11">
        <v>3.2451650387509023E-2</v>
      </c>
      <c r="AN53" s="11">
        <v>0.18343690277413074</v>
      </c>
      <c r="AO53" s="11">
        <v>3.3348189234552843E-2</v>
      </c>
      <c r="AP53" s="11">
        <v>0.25248091513256576</v>
      </c>
      <c r="AQ53" s="11">
        <v>7.1765394019517426E-2</v>
      </c>
      <c r="AR53" s="11">
        <v>0.24969527183516751</v>
      </c>
      <c r="AS53" s="11">
        <v>4.2440011539895087E-2</v>
      </c>
      <c r="AT53" s="11">
        <v>0.31118378497794291</v>
      </c>
      <c r="AU53" s="11">
        <v>4.9996412490979109E-2</v>
      </c>
      <c r="AV53" s="10">
        <v>0.11409326314457957</v>
      </c>
      <c r="AW53" s="10" t="s">
        <v>114</v>
      </c>
      <c r="AX53" s="10" t="s">
        <v>114</v>
      </c>
      <c r="AY53" s="10" t="s">
        <v>114</v>
      </c>
      <c r="AZ53" s="10">
        <v>37.712636818246644</v>
      </c>
      <c r="BA53" s="10">
        <v>34.034750748858485</v>
      </c>
      <c r="BB53" s="11">
        <v>35.423274668403408</v>
      </c>
      <c r="BC53" s="11" t="s">
        <v>114</v>
      </c>
      <c r="BD53" s="11">
        <v>34.454119712231936</v>
      </c>
    </row>
    <row r="54" spans="1:56" x14ac:dyDescent="0.3">
      <c r="A54" t="s">
        <v>165</v>
      </c>
      <c r="B54" t="s">
        <v>62</v>
      </c>
      <c r="C54" s="10">
        <v>6186.0885105988928</v>
      </c>
      <c r="D54" s="11">
        <v>2129.4834991632665</v>
      </c>
      <c r="E54" s="10">
        <v>513.09394043713644</v>
      </c>
      <c r="F54" s="10">
        <v>139176.3188672947</v>
      </c>
      <c r="G54" s="10">
        <v>152.50351218683599</v>
      </c>
      <c r="H54" s="10">
        <v>351615.15876993374</v>
      </c>
      <c r="I54" s="11">
        <v>348682.44662962283</v>
      </c>
      <c r="J54" s="10">
        <v>16.970317627511616</v>
      </c>
      <c r="K54" s="11">
        <v>61.983371015741703</v>
      </c>
      <c r="L54" s="11">
        <v>24.467569418544404</v>
      </c>
      <c r="M54" s="11">
        <v>605.56396445684686</v>
      </c>
      <c r="N54" s="11">
        <v>13560.162473411296</v>
      </c>
      <c r="O54" s="10">
        <v>13140.121112246401</v>
      </c>
      <c r="P54" s="10">
        <v>6.4109149827687544</v>
      </c>
      <c r="Q54" s="11">
        <v>22.707031593798899</v>
      </c>
      <c r="R54" s="11">
        <v>56.73850551471174</v>
      </c>
      <c r="S54" s="10">
        <v>57.545634691904155</v>
      </c>
      <c r="T54" s="11">
        <v>121.85944009856435</v>
      </c>
      <c r="U54" s="10">
        <v>136.78006914799681</v>
      </c>
      <c r="V54" s="10">
        <v>67.876134659018931</v>
      </c>
      <c r="W54" s="10" t="s">
        <v>114</v>
      </c>
      <c r="X54" s="10">
        <v>0.48904089938369527</v>
      </c>
      <c r="Y54" s="11">
        <v>1667.8067435049181</v>
      </c>
      <c r="Z54" s="10">
        <v>9.0849845347839597</v>
      </c>
      <c r="AA54" s="10">
        <v>0.85644094472472176</v>
      </c>
      <c r="AB54" s="10">
        <v>0.87502530428854008</v>
      </c>
      <c r="AC54" s="10">
        <v>0.58519933769908405</v>
      </c>
      <c r="AD54" s="10" t="s">
        <v>114</v>
      </c>
      <c r="AE54" s="10">
        <v>2.4196595748686334</v>
      </c>
      <c r="AF54" s="10">
        <v>1.1522631328690004E-2</v>
      </c>
      <c r="AG54" s="11">
        <v>371.02572864068935</v>
      </c>
      <c r="AH54" s="11">
        <v>1.9990098941191894</v>
      </c>
      <c r="AI54" s="11">
        <v>3.9322711062081646</v>
      </c>
      <c r="AJ54" s="11">
        <v>0.30732731377455258</v>
      </c>
      <c r="AK54" s="11">
        <v>1.3224754892242738</v>
      </c>
      <c r="AL54" s="11">
        <v>0.29722316465450843</v>
      </c>
      <c r="AM54" s="11">
        <v>9.2284202612478244E-2</v>
      </c>
      <c r="AN54" s="11">
        <v>0.43363295099555432</v>
      </c>
      <c r="AO54" s="11">
        <v>7.8679229482940927E-2</v>
      </c>
      <c r="AP54" s="11">
        <v>0.62124596949307398</v>
      </c>
      <c r="AQ54" s="11">
        <v>0.16019749491804638</v>
      </c>
      <c r="AR54" s="11">
        <v>0.57323006853411196</v>
      </c>
      <c r="AS54" s="11">
        <v>9.4198797564326128E-2</v>
      </c>
      <c r="AT54" s="11">
        <v>0.65410167566357613</v>
      </c>
      <c r="AU54" s="11">
        <v>0.11710274009997243</v>
      </c>
      <c r="AV54" s="10">
        <v>9.0805415093309041E-2</v>
      </c>
      <c r="AW54" s="10" t="s">
        <v>114</v>
      </c>
      <c r="AX54" s="10" t="s">
        <v>114</v>
      </c>
      <c r="AY54" s="10">
        <v>1.6222636756325095E-2</v>
      </c>
      <c r="AZ54" s="10">
        <v>320.30554955944626</v>
      </c>
      <c r="BA54" s="10">
        <v>286.99685048905764</v>
      </c>
      <c r="BB54" s="11">
        <v>298.88611714668377</v>
      </c>
      <c r="BC54" s="11" t="s">
        <v>114</v>
      </c>
      <c r="BD54" s="11">
        <v>53.223720875887857</v>
      </c>
    </row>
    <row r="55" spans="1:56" x14ac:dyDescent="0.3">
      <c r="A55" t="s">
        <v>166</v>
      </c>
      <c r="B55" t="s">
        <v>62</v>
      </c>
      <c r="C55" s="10">
        <v>6360.9835448951135</v>
      </c>
      <c r="D55" s="11">
        <v>1585.7387817340832</v>
      </c>
      <c r="E55" s="10">
        <v>88.237104972982848</v>
      </c>
      <c r="F55" s="10">
        <v>154749.42574560113</v>
      </c>
      <c r="G55" s="10" t="s">
        <v>114</v>
      </c>
      <c r="H55" s="10">
        <v>382996.94468952448</v>
      </c>
      <c r="I55" s="11">
        <v>377509.12481235212</v>
      </c>
      <c r="J55" s="10">
        <v>9.6948309054741078</v>
      </c>
      <c r="K55" s="11">
        <v>59.949207210661427</v>
      </c>
      <c r="L55" s="11">
        <v>20.336731937327457</v>
      </c>
      <c r="M55" s="11">
        <v>772.25853992175382</v>
      </c>
      <c r="N55" s="11">
        <v>6305.7267038054242</v>
      </c>
      <c r="O55" s="10">
        <v>6294.5471722960046</v>
      </c>
      <c r="P55" s="10">
        <v>4.3838930423953828</v>
      </c>
      <c r="Q55" s="11">
        <v>17.283810732823579</v>
      </c>
      <c r="R55" s="11">
        <v>25.046036363065106</v>
      </c>
      <c r="S55" s="10">
        <v>24.788137021181853</v>
      </c>
      <c r="T55" s="11">
        <v>115.92396949298458</v>
      </c>
      <c r="U55" s="10">
        <v>123.66617952608941</v>
      </c>
      <c r="V55" s="10">
        <v>102.14818376860566</v>
      </c>
      <c r="W55" s="10">
        <v>14.085044060150496</v>
      </c>
      <c r="X55" s="10" t="s">
        <v>114</v>
      </c>
      <c r="Y55" s="11">
        <v>1255.214364836193</v>
      </c>
      <c r="Z55" s="10">
        <v>6.0773608120439304</v>
      </c>
      <c r="AA55" s="10">
        <v>0.91734520398041286</v>
      </c>
      <c r="AB55" s="10">
        <v>0.90109034682960665</v>
      </c>
      <c r="AC55" s="10">
        <v>0.15441751327446712</v>
      </c>
      <c r="AD55" s="10" t="s">
        <v>114</v>
      </c>
      <c r="AE55" s="10">
        <v>1.6350205279616592</v>
      </c>
      <c r="AF55" s="10">
        <v>3.8807037747642342E-3</v>
      </c>
      <c r="AG55" s="11">
        <v>255.02874551304828</v>
      </c>
      <c r="AH55" s="11">
        <v>1.5673465635622372</v>
      </c>
      <c r="AI55" s="11">
        <v>2.0746779608595287</v>
      </c>
      <c r="AJ55" s="11">
        <v>0.22104064707774768</v>
      </c>
      <c r="AK55" s="11">
        <v>0.99222740393344633</v>
      </c>
      <c r="AL55" s="11">
        <v>0.23645508517801064</v>
      </c>
      <c r="AM55" s="11">
        <v>6.6318054335440274E-2</v>
      </c>
      <c r="AN55" s="11">
        <v>0.36838236926630108</v>
      </c>
      <c r="AO55" s="11">
        <v>6.3113898634494056E-2</v>
      </c>
      <c r="AP55" s="11">
        <v>0.5181379439396413</v>
      </c>
      <c r="AQ55" s="11">
        <v>0.14101332943640627</v>
      </c>
      <c r="AR55" s="11">
        <v>0.49040846169810109</v>
      </c>
      <c r="AS55" s="11">
        <v>7.4354881740350043E-2</v>
      </c>
      <c r="AT55" s="11">
        <v>0.54223062847571013</v>
      </c>
      <c r="AU55" s="11">
        <v>8.7364643626690608E-2</v>
      </c>
      <c r="AV55" s="10">
        <v>9.5534020962557739E-2</v>
      </c>
      <c r="AW55" s="10" t="s">
        <v>114</v>
      </c>
      <c r="AX55" s="10" t="s">
        <v>114</v>
      </c>
      <c r="AY55" s="10" t="s">
        <v>114</v>
      </c>
      <c r="AZ55" s="10">
        <v>52.490563974209749</v>
      </c>
      <c r="BA55" s="10">
        <v>47.28149864123619</v>
      </c>
      <c r="BB55" s="11">
        <v>49.222628206728125</v>
      </c>
      <c r="BC55" s="11" t="s">
        <v>114</v>
      </c>
      <c r="BD55" s="11">
        <v>25.83715305974172</v>
      </c>
    </row>
    <row r="56" spans="1:56" x14ac:dyDescent="0.3">
      <c r="A56" t="s">
        <v>167</v>
      </c>
      <c r="B56" t="s">
        <v>62</v>
      </c>
      <c r="C56" s="10">
        <v>4975.1450895160842</v>
      </c>
      <c r="D56" s="11">
        <v>1996.6980338722087</v>
      </c>
      <c r="E56" s="10">
        <v>82.770967011886825</v>
      </c>
      <c r="F56" s="10">
        <v>157635.63320741651</v>
      </c>
      <c r="G56" s="10">
        <v>80.012759348155214</v>
      </c>
      <c r="H56" s="10">
        <v>375802.74337332748</v>
      </c>
      <c r="I56" s="11">
        <v>372923.61476575653</v>
      </c>
      <c r="J56" s="10">
        <v>5.2201997987078155</v>
      </c>
      <c r="K56" s="11">
        <v>12.437971220782931</v>
      </c>
      <c r="L56" s="11">
        <v>7.5161345620183546</v>
      </c>
      <c r="M56" s="11">
        <v>471.01589017381724</v>
      </c>
      <c r="N56" s="11">
        <v>555.00152775683478</v>
      </c>
      <c r="O56" s="10">
        <v>561.46186921747596</v>
      </c>
      <c r="P56" s="10">
        <v>1.9040641074397271</v>
      </c>
      <c r="Q56" s="11">
        <v>14.330491473121873</v>
      </c>
      <c r="R56" s="11">
        <v>16.061969262694607</v>
      </c>
      <c r="S56" s="10">
        <v>16.06849683018098</v>
      </c>
      <c r="T56" s="11">
        <v>100.43538872536303</v>
      </c>
      <c r="U56" s="10">
        <v>104.41044933210242</v>
      </c>
      <c r="V56" s="10">
        <v>14.283164217074116</v>
      </c>
      <c r="W56" s="10" t="s">
        <v>114</v>
      </c>
      <c r="X56" s="10">
        <v>0.16403360156671543</v>
      </c>
      <c r="Y56" s="11">
        <v>1732.2522867754212</v>
      </c>
      <c r="Z56" s="10">
        <v>8.6229838529599139</v>
      </c>
      <c r="AA56" s="10">
        <v>0.88245634586934385</v>
      </c>
      <c r="AB56" s="10">
        <v>0.67824722908675028</v>
      </c>
      <c r="AC56" s="10">
        <v>8.6081459792118467E-2</v>
      </c>
      <c r="AD56" s="10" t="s">
        <v>114</v>
      </c>
      <c r="AE56" s="10">
        <v>1.351954918832132</v>
      </c>
      <c r="AF56" s="10">
        <v>4.2236811722359937E-3</v>
      </c>
      <c r="AG56" s="11">
        <v>145.93464688526421</v>
      </c>
      <c r="AH56" s="11">
        <v>0.62138925582783611</v>
      </c>
      <c r="AI56" s="11">
        <v>1.4028446792820808</v>
      </c>
      <c r="AJ56" s="11">
        <v>9.7331537563268636E-2</v>
      </c>
      <c r="AK56" s="11">
        <v>0.40635847736515296</v>
      </c>
      <c r="AL56" s="11">
        <v>7.4793206597947262E-2</v>
      </c>
      <c r="AM56" s="11">
        <v>2.3904530981288672E-2</v>
      </c>
      <c r="AN56" s="11">
        <v>0.11471509147835131</v>
      </c>
      <c r="AO56" s="11">
        <v>1.8993012067149536E-2</v>
      </c>
      <c r="AP56" s="11">
        <v>0.14378797767132426</v>
      </c>
      <c r="AQ56" s="11">
        <v>4.0275845818059791E-2</v>
      </c>
      <c r="AR56" s="11">
        <v>0.14448242424979185</v>
      </c>
      <c r="AS56" s="11">
        <v>2.4949654050072677E-2</v>
      </c>
      <c r="AT56" s="11">
        <v>0.15575664950048182</v>
      </c>
      <c r="AU56" s="11">
        <v>2.9892846805485717E-2</v>
      </c>
      <c r="AV56" s="10">
        <v>0.10352195412195121</v>
      </c>
      <c r="AW56" s="10" t="s">
        <v>114</v>
      </c>
      <c r="AX56" s="10" t="s">
        <v>114</v>
      </c>
      <c r="AY56" s="10">
        <v>3.1333493075965058E-2</v>
      </c>
      <c r="AZ56" s="10">
        <v>17.916611031059279</v>
      </c>
      <c r="BA56" s="10">
        <v>16.14360835953234</v>
      </c>
      <c r="BB56" s="11">
        <v>16.776976853086289</v>
      </c>
      <c r="BC56" s="11" t="s">
        <v>114</v>
      </c>
      <c r="BD56" s="11">
        <v>25.250352941055137</v>
      </c>
    </row>
    <row r="57" spans="1:56" x14ac:dyDescent="0.3">
      <c r="A57" t="s">
        <v>168</v>
      </c>
      <c r="B57" t="s">
        <v>62</v>
      </c>
      <c r="C57" s="10">
        <v>6314.8539609356721</v>
      </c>
      <c r="D57" s="11">
        <v>2800.5909533497233</v>
      </c>
      <c r="E57" s="10">
        <v>116.19310975657456</v>
      </c>
      <c r="F57" s="10">
        <v>157608.79906969675</v>
      </c>
      <c r="G57" s="10">
        <v>104.27692806803645</v>
      </c>
      <c r="H57" s="10">
        <v>388520.34762712242</v>
      </c>
      <c r="I57" s="11">
        <v>388617.63469641056</v>
      </c>
      <c r="J57" s="10">
        <v>4.9944286125646613</v>
      </c>
      <c r="K57" s="11">
        <v>22.794246913472797</v>
      </c>
      <c r="L57" s="11">
        <v>10.098019066811926</v>
      </c>
      <c r="M57" s="11">
        <v>995.7608321295578</v>
      </c>
      <c r="N57" s="11">
        <v>4035.2808289302161</v>
      </c>
      <c r="O57" s="10">
        <v>4018.3608149100701</v>
      </c>
      <c r="P57" s="10">
        <v>3.7483750571073218</v>
      </c>
      <c r="Q57" s="11">
        <v>17.441799238641046</v>
      </c>
      <c r="R57" s="11">
        <v>36.841327875822905</v>
      </c>
      <c r="S57" s="10">
        <v>36.820413000189767</v>
      </c>
      <c r="T57" s="11">
        <v>160.68825580007083</v>
      </c>
      <c r="U57" s="10">
        <v>159.81665421139118</v>
      </c>
      <c r="V57" s="10">
        <v>33.85987234526776</v>
      </c>
      <c r="W57" s="10" t="s">
        <v>114</v>
      </c>
      <c r="X57" s="10">
        <v>0.14351567448966293</v>
      </c>
      <c r="Y57" s="11">
        <v>1934.3238984407519</v>
      </c>
      <c r="Z57" s="10">
        <v>7.9030941583364029</v>
      </c>
      <c r="AA57" s="10">
        <v>2.4043078666702886</v>
      </c>
      <c r="AB57" s="10">
        <v>2.1962585663572614</v>
      </c>
      <c r="AC57" s="10">
        <v>0.19402542461797695</v>
      </c>
      <c r="AD57" s="10" t="s">
        <v>114</v>
      </c>
      <c r="AE57" s="10">
        <v>2.9183749437332955</v>
      </c>
      <c r="AF57" s="10">
        <v>5.5697531593576783E-3</v>
      </c>
      <c r="AG57" s="11">
        <v>116.61572869363199</v>
      </c>
      <c r="AH57" s="11">
        <v>0.61949979784522946</v>
      </c>
      <c r="AI57" s="11">
        <v>1.3818282145015257</v>
      </c>
      <c r="AJ57" s="11">
        <v>0.1133561388294379</v>
      </c>
      <c r="AK57" s="11">
        <v>0.49938195027688159</v>
      </c>
      <c r="AL57" s="11">
        <v>0.11428681773105087</v>
      </c>
      <c r="AM57" s="11">
        <v>3.2516455034079038E-2</v>
      </c>
      <c r="AN57" s="11">
        <v>0.136689592359516</v>
      </c>
      <c r="AO57" s="11">
        <v>2.3111289127387261E-2</v>
      </c>
      <c r="AP57" s="11">
        <v>0.18822891251129192</v>
      </c>
      <c r="AQ57" s="11">
        <v>4.8411071432769924E-2</v>
      </c>
      <c r="AR57" s="11">
        <v>0.16334756330287173</v>
      </c>
      <c r="AS57" s="11">
        <v>2.6793419110247498E-2</v>
      </c>
      <c r="AT57" s="11">
        <v>0.18243857215705281</v>
      </c>
      <c r="AU57" s="11">
        <v>2.891782840454124E-2</v>
      </c>
      <c r="AV57" s="10">
        <v>1.4008877039249343</v>
      </c>
      <c r="AW57" s="10">
        <v>0.41165923111068714</v>
      </c>
      <c r="AX57" s="10" t="s">
        <v>114</v>
      </c>
      <c r="AY57" s="10">
        <v>5.4150955711954902E-3</v>
      </c>
      <c r="AZ57" s="10">
        <v>17.078580328063524</v>
      </c>
      <c r="BA57" s="10">
        <v>15.306799634465321</v>
      </c>
      <c r="BB57" s="11">
        <v>15.953324959805171</v>
      </c>
      <c r="BC57" s="11">
        <v>0.4620043214149499</v>
      </c>
      <c r="BD57" s="11">
        <v>34.291010852040898</v>
      </c>
    </row>
    <row r="58" spans="1:56" x14ac:dyDescent="0.3">
      <c r="A58" t="s">
        <v>169</v>
      </c>
      <c r="B58" t="s">
        <v>62</v>
      </c>
      <c r="C58" s="10">
        <v>5845.2059980103286</v>
      </c>
      <c r="D58" s="11">
        <v>2807.3545277979092</v>
      </c>
      <c r="E58" s="10">
        <v>74.910306126671429</v>
      </c>
      <c r="F58" s="10">
        <v>140969.07338223193</v>
      </c>
      <c r="G58" s="10">
        <v>135.63430739339236</v>
      </c>
      <c r="H58" s="10">
        <v>347726.76802791096</v>
      </c>
      <c r="I58" s="11">
        <v>353426.62289424473</v>
      </c>
      <c r="J58" s="10">
        <v>12.752017142910805</v>
      </c>
      <c r="K58" s="11">
        <v>5.862505891364564</v>
      </c>
      <c r="L58" s="11">
        <v>15.756482894240197</v>
      </c>
      <c r="M58" s="11">
        <v>350.30458653202032</v>
      </c>
      <c r="N58" s="11">
        <v>395.00313098361835</v>
      </c>
      <c r="O58" s="10">
        <v>414.08124185594124</v>
      </c>
      <c r="P58" s="10">
        <v>0.22141635892039785</v>
      </c>
      <c r="Q58" s="11">
        <v>4.1539646495834956</v>
      </c>
      <c r="R58" s="11">
        <v>21.154458929859508</v>
      </c>
      <c r="S58" s="10">
        <v>20.501597352347453</v>
      </c>
      <c r="T58" s="11">
        <v>94.012398561829244</v>
      </c>
      <c r="U58" s="10">
        <v>95.334379161965629</v>
      </c>
      <c r="V58" s="10">
        <v>7.486338200742968</v>
      </c>
      <c r="W58" s="10" t="s">
        <v>114</v>
      </c>
      <c r="X58" s="10">
        <v>0.17346688239585265</v>
      </c>
      <c r="Y58" s="11">
        <v>2543.8634698807095</v>
      </c>
      <c r="Z58" s="10">
        <v>10.724599944580925</v>
      </c>
      <c r="AA58" s="10">
        <v>0.49959735648556974</v>
      </c>
      <c r="AB58" s="10">
        <v>0.46090185906572301</v>
      </c>
      <c r="AC58" s="10">
        <v>0.35818572602582238</v>
      </c>
      <c r="AD58" s="10" t="s">
        <v>114</v>
      </c>
      <c r="AE58" s="10">
        <v>0.62563201212169794</v>
      </c>
      <c r="AF58" s="10">
        <v>5.9415629300736614E-3</v>
      </c>
      <c r="AG58" s="11">
        <v>128.44279769850493</v>
      </c>
      <c r="AH58" s="11">
        <v>1.16906250726844</v>
      </c>
      <c r="AI58" s="11">
        <v>2.4959006395024903</v>
      </c>
      <c r="AJ58" s="11">
        <v>0.16277327529136568</v>
      </c>
      <c r="AK58" s="11">
        <v>0.74229352295753015</v>
      </c>
      <c r="AL58" s="11">
        <v>0.13579764563779556</v>
      </c>
      <c r="AM58" s="11">
        <v>4.4305971557115915E-2</v>
      </c>
      <c r="AN58" s="11">
        <v>0.21347066792510297</v>
      </c>
      <c r="AO58" s="11">
        <v>3.9084526808809292E-2</v>
      </c>
      <c r="AP58" s="11">
        <v>0.26102929882583131</v>
      </c>
      <c r="AQ58" s="11">
        <v>7.4535778572796141E-2</v>
      </c>
      <c r="AR58" s="11">
        <v>0.25441213647082572</v>
      </c>
      <c r="AS58" s="11">
        <v>3.7004397250276176E-2</v>
      </c>
      <c r="AT58" s="11">
        <v>0.28487332963135886</v>
      </c>
      <c r="AU58" s="11">
        <v>4.5558341157320631E-2</v>
      </c>
      <c r="AV58" s="10">
        <v>0.68534454235162223</v>
      </c>
      <c r="AW58" s="10" t="s">
        <v>114</v>
      </c>
      <c r="AX58" s="10" t="s">
        <v>114</v>
      </c>
      <c r="AY58" s="10">
        <v>3.6870623874617994E-2</v>
      </c>
      <c r="AZ58" s="10">
        <v>59.157656193902227</v>
      </c>
      <c r="BA58" s="10">
        <v>53.052101000555851</v>
      </c>
      <c r="BB58" s="11">
        <v>55.306052937458979</v>
      </c>
      <c r="BC58" s="11">
        <v>0.18141050378440157</v>
      </c>
      <c r="BD58" s="11">
        <v>48.655979930394082</v>
      </c>
    </row>
    <row r="59" spans="1:56" x14ac:dyDescent="0.3">
      <c r="A59" t="s">
        <v>170</v>
      </c>
      <c r="B59" t="s">
        <v>62</v>
      </c>
      <c r="C59" s="10">
        <v>5529.4387253813984</v>
      </c>
      <c r="D59" s="11">
        <v>1810.1501747124303</v>
      </c>
      <c r="E59" s="10">
        <v>130.30099506550533</v>
      </c>
      <c r="F59" s="10">
        <v>177976.80024796593</v>
      </c>
      <c r="G59" s="10">
        <v>92.621691630012393</v>
      </c>
      <c r="H59" s="10">
        <v>435673.88323219534</v>
      </c>
      <c r="I59" s="11">
        <v>430004.15731716657</v>
      </c>
      <c r="J59" s="10">
        <v>4.6987704973371311</v>
      </c>
      <c r="K59" s="11">
        <v>26.438151118113179</v>
      </c>
      <c r="L59" s="11">
        <v>4.1340382483556422</v>
      </c>
      <c r="M59" s="11">
        <v>412.07456654294185</v>
      </c>
      <c r="N59" s="11">
        <v>3799.3296832444239</v>
      </c>
      <c r="O59" s="10">
        <v>3790.2109137683906</v>
      </c>
      <c r="P59" s="10">
        <v>1.0447878200031127</v>
      </c>
      <c r="Q59" s="11">
        <v>7.9150369604752564</v>
      </c>
      <c r="R59" s="11">
        <v>26.950481579658547</v>
      </c>
      <c r="S59" s="10">
        <v>26.422366035090974</v>
      </c>
      <c r="T59" s="11">
        <v>173.43342920956147</v>
      </c>
      <c r="U59" s="10">
        <v>174.77079203476379</v>
      </c>
      <c r="V59" s="10">
        <v>21.820830695276221</v>
      </c>
      <c r="W59" s="10" t="s">
        <v>114</v>
      </c>
      <c r="X59" s="10">
        <v>0.1977603969556499</v>
      </c>
      <c r="Y59" s="11">
        <v>2084.1314977100601</v>
      </c>
      <c r="Z59" s="10">
        <v>4.7598667798642209</v>
      </c>
      <c r="AA59" s="10">
        <v>0.9185176880007091</v>
      </c>
      <c r="AB59" s="10">
        <v>0.78216745095600249</v>
      </c>
      <c r="AC59" s="10">
        <v>0.92770582924386158</v>
      </c>
      <c r="AD59" s="10" t="s">
        <v>114</v>
      </c>
      <c r="AE59" s="10">
        <v>1.7906107934765014</v>
      </c>
      <c r="AF59" s="10">
        <v>8.4171177754060918E-3</v>
      </c>
      <c r="AG59" s="11">
        <v>156.76757913853595</v>
      </c>
      <c r="AH59" s="11">
        <v>0.63736198006657863</v>
      </c>
      <c r="AI59" s="11">
        <v>1.230534805177961</v>
      </c>
      <c r="AJ59" s="11">
        <v>0.11239977887576925</v>
      </c>
      <c r="AK59" s="11">
        <v>0.47991236594482067</v>
      </c>
      <c r="AL59" s="11">
        <v>0.12441977615759021</v>
      </c>
      <c r="AM59" s="11">
        <v>2.6348058826305115E-2</v>
      </c>
      <c r="AN59" s="11">
        <v>0.13074193433829304</v>
      </c>
      <c r="AO59" s="11">
        <v>2.101913182962294E-2</v>
      </c>
      <c r="AP59" s="11">
        <v>0.16389207568098782</v>
      </c>
      <c r="AQ59" s="11">
        <v>4.2993635820603282E-2</v>
      </c>
      <c r="AR59" s="11">
        <v>0.13037526152439771</v>
      </c>
      <c r="AS59" s="11">
        <v>2.0289512009610253E-2</v>
      </c>
      <c r="AT59" s="11">
        <v>0.13854259353088008</v>
      </c>
      <c r="AU59" s="11">
        <v>2.2684500375748554E-2</v>
      </c>
      <c r="AV59" s="10">
        <v>0.28876039338264131</v>
      </c>
      <c r="AW59" s="10" t="s">
        <v>114</v>
      </c>
      <c r="AX59" s="10" t="s">
        <v>114</v>
      </c>
      <c r="AY59" s="10">
        <v>8.6867609256548271E-3</v>
      </c>
      <c r="AZ59" s="10">
        <v>497.16730801502473</v>
      </c>
      <c r="BA59" s="10">
        <v>446.84442842082376</v>
      </c>
      <c r="BB59" s="11">
        <v>464.27083109473443</v>
      </c>
      <c r="BC59" s="11">
        <v>7.7752494790000057E-2</v>
      </c>
      <c r="BD59" s="11">
        <v>51.984089465840199</v>
      </c>
    </row>
    <row r="60" spans="1:56" x14ac:dyDescent="0.3">
      <c r="A60" t="s">
        <v>171</v>
      </c>
      <c r="B60" t="s">
        <v>62</v>
      </c>
      <c r="C60" s="10">
        <v>4256.4605073074681</v>
      </c>
      <c r="D60" s="11">
        <v>1533.406904757233</v>
      </c>
      <c r="E60" s="10">
        <v>252.27755490395057</v>
      </c>
      <c r="F60" s="10">
        <v>169649.00103745784</v>
      </c>
      <c r="G60" s="10">
        <v>158.91555486236382</v>
      </c>
      <c r="H60" s="10">
        <v>401127.44164429721</v>
      </c>
      <c r="I60" s="11">
        <v>391376.90102579637</v>
      </c>
      <c r="J60" s="10">
        <v>12.313873901398537</v>
      </c>
      <c r="K60" s="11">
        <v>39.502633264497874</v>
      </c>
      <c r="L60" s="11">
        <v>4.2560893870607073</v>
      </c>
      <c r="M60" s="11">
        <v>227.78972992971339</v>
      </c>
      <c r="N60" s="11">
        <v>4082.8153565968864</v>
      </c>
      <c r="O60" s="10">
        <v>4117.688087140883</v>
      </c>
      <c r="P60" s="10">
        <v>0.88380183602210938</v>
      </c>
      <c r="Q60" s="11">
        <v>7.9992497560740627</v>
      </c>
      <c r="R60" s="11">
        <v>21.708752915704796</v>
      </c>
      <c r="S60" s="10">
        <v>21.534748764485357</v>
      </c>
      <c r="T60" s="11">
        <v>128.06842936730163</v>
      </c>
      <c r="U60" s="10">
        <v>123.45645425549299</v>
      </c>
      <c r="V60" s="10">
        <v>31.470212588579074</v>
      </c>
      <c r="W60" s="10">
        <v>12.358418175180509</v>
      </c>
      <c r="X60" s="10">
        <v>0.3304261139054121</v>
      </c>
      <c r="Y60" s="11">
        <v>1180.9856521960517</v>
      </c>
      <c r="Z60" s="10">
        <v>4.3797739572792302</v>
      </c>
      <c r="AA60" s="10">
        <v>0.67789162477593434</v>
      </c>
      <c r="AB60" s="10">
        <v>0.61587120689519548</v>
      </c>
      <c r="AC60" s="10">
        <v>0.24344164206578206</v>
      </c>
      <c r="AD60" s="10" t="s">
        <v>114</v>
      </c>
      <c r="AE60" s="10">
        <v>2.7102506349200528</v>
      </c>
      <c r="AF60" s="10">
        <v>1.0415896515416474E-2</v>
      </c>
      <c r="AG60" s="11">
        <v>45.05463832991105</v>
      </c>
      <c r="AH60" s="11">
        <v>1.1480540805946058</v>
      </c>
      <c r="AI60" s="11">
        <v>2.7182862522502673</v>
      </c>
      <c r="AJ60" s="11">
        <v>0.18991528130915775</v>
      </c>
      <c r="AK60" s="11">
        <v>0.85362186329207779</v>
      </c>
      <c r="AL60" s="11">
        <v>0.20175336047114859</v>
      </c>
      <c r="AM60" s="11">
        <v>4.4779627901237129E-2</v>
      </c>
      <c r="AN60" s="11">
        <v>0.24012366401289462</v>
      </c>
      <c r="AO60" s="11">
        <v>4.4500495278637156E-2</v>
      </c>
      <c r="AP60" s="11">
        <v>0.29647449665847903</v>
      </c>
      <c r="AQ60" s="11">
        <v>6.980416207263436E-2</v>
      </c>
      <c r="AR60" s="11">
        <v>0.24780031383941503</v>
      </c>
      <c r="AS60" s="11">
        <v>3.7780475107428338E-2</v>
      </c>
      <c r="AT60" s="11">
        <v>0.27082389331727857</v>
      </c>
      <c r="AU60" s="11">
        <v>4.0320335868902872E-2</v>
      </c>
      <c r="AV60" s="10">
        <v>0.12713136120106844</v>
      </c>
      <c r="AW60" s="10" t="s">
        <v>114</v>
      </c>
      <c r="AX60" s="10" t="s">
        <v>114</v>
      </c>
      <c r="AY60" s="10">
        <v>2.2120966888108891E-2</v>
      </c>
      <c r="AZ60" s="10">
        <v>18.32026032807499</v>
      </c>
      <c r="BA60" s="10">
        <v>16.599506887253519</v>
      </c>
      <c r="BB60" s="11">
        <v>17.234839517271325</v>
      </c>
      <c r="BC60" s="11" t="s">
        <v>114</v>
      </c>
      <c r="BD60" s="11">
        <v>35.857822783594443</v>
      </c>
    </row>
    <row r="61" spans="1:56" x14ac:dyDescent="0.3">
      <c r="A61" t="s">
        <v>172</v>
      </c>
      <c r="B61" t="s">
        <v>62</v>
      </c>
      <c r="C61" s="10">
        <v>5169.7786775546219</v>
      </c>
      <c r="D61" s="11">
        <v>1820.4511232671437</v>
      </c>
      <c r="E61" s="10">
        <v>278.16052932009137</v>
      </c>
      <c r="F61" s="10">
        <v>155466.46130527504</v>
      </c>
      <c r="G61" s="10">
        <v>71.467088087544198</v>
      </c>
      <c r="H61" s="10">
        <v>383040.91803741449</v>
      </c>
      <c r="I61" s="11">
        <v>378349.45897246391</v>
      </c>
      <c r="J61" s="10">
        <v>10.913355730521381</v>
      </c>
      <c r="K61" s="11">
        <v>101.87316786525841</v>
      </c>
      <c r="L61" s="11">
        <v>14.276419469315078</v>
      </c>
      <c r="M61" s="11">
        <v>286.37148284300338</v>
      </c>
      <c r="N61" s="11">
        <v>15249.746497123404</v>
      </c>
      <c r="O61" s="10">
        <v>14717.237616776776</v>
      </c>
      <c r="P61" s="10">
        <v>1.9994796674655144</v>
      </c>
      <c r="Q61" s="11">
        <v>15.904947057611482</v>
      </c>
      <c r="R61" s="11">
        <v>28.381232187540594</v>
      </c>
      <c r="S61" s="10">
        <v>28.914712545980674</v>
      </c>
      <c r="T61" s="11">
        <v>176.90427298048306</v>
      </c>
      <c r="U61" s="10">
        <v>174.05863535194399</v>
      </c>
      <c r="V61" s="10">
        <v>122.90841933265291</v>
      </c>
      <c r="W61" s="10" t="s">
        <v>114</v>
      </c>
      <c r="X61" s="10">
        <v>0.11356780723923519</v>
      </c>
      <c r="Y61" s="11">
        <v>1480.0580672643205</v>
      </c>
      <c r="Z61" s="10">
        <v>4.538759311395923</v>
      </c>
      <c r="AA61" s="10">
        <v>0.90568513609063572</v>
      </c>
      <c r="AB61" s="10">
        <v>0.8695354059404734</v>
      </c>
      <c r="AC61" s="10">
        <v>0.18834005740479901</v>
      </c>
      <c r="AD61" s="10" t="s">
        <v>114</v>
      </c>
      <c r="AE61" s="10">
        <v>3.8683313245248354</v>
      </c>
      <c r="AF61" s="10">
        <v>3.0231760371413736E-3</v>
      </c>
      <c r="AG61" s="11">
        <v>87.11810873637036</v>
      </c>
      <c r="AH61" s="11">
        <v>0.43946366863171149</v>
      </c>
      <c r="AI61" s="11">
        <v>0.82860262822650466</v>
      </c>
      <c r="AJ61" s="11">
        <v>6.4224877775122577E-2</v>
      </c>
      <c r="AK61" s="11">
        <v>0.28826561537458611</v>
      </c>
      <c r="AL61" s="11">
        <v>8.6535659445719587E-2</v>
      </c>
      <c r="AM61" s="11">
        <v>2.1814454917338601E-2</v>
      </c>
      <c r="AN61" s="11">
        <v>8.9246900020824457E-2</v>
      </c>
      <c r="AO61" s="11">
        <v>1.7970075094286636E-2</v>
      </c>
      <c r="AP61" s="11">
        <v>0.12560113060647193</v>
      </c>
      <c r="AQ61" s="11">
        <v>3.3774619595418123E-2</v>
      </c>
      <c r="AR61" s="11">
        <v>0.12060181453684464</v>
      </c>
      <c r="AS61" s="11">
        <v>1.8848419110112948E-2</v>
      </c>
      <c r="AT61" s="11">
        <v>0.11756526241689605</v>
      </c>
      <c r="AU61" s="11">
        <v>2.4008324552613671E-2</v>
      </c>
      <c r="AV61" s="10">
        <v>0.15101267535007648</v>
      </c>
      <c r="AW61" s="10" t="s">
        <v>114</v>
      </c>
      <c r="AX61" s="10" t="s">
        <v>114</v>
      </c>
      <c r="AY61" s="10">
        <v>1.1454291545151613E-2</v>
      </c>
      <c r="AZ61" s="10">
        <v>11.984958427840041</v>
      </c>
      <c r="BA61" s="10">
        <v>10.725459903140738</v>
      </c>
      <c r="BB61" s="11">
        <v>11.119341773313113</v>
      </c>
      <c r="BC61" s="11" t="s">
        <v>114</v>
      </c>
      <c r="BD61" s="11">
        <v>41.713850797158123</v>
      </c>
    </row>
    <row r="62" spans="1:56" x14ac:dyDescent="0.3">
      <c r="A62" t="s">
        <v>173</v>
      </c>
      <c r="B62" t="s">
        <v>62</v>
      </c>
      <c r="C62" s="10">
        <v>3537.5862221227844</v>
      </c>
      <c r="D62" s="11">
        <v>1951.3208505015712</v>
      </c>
      <c r="E62" s="10">
        <v>381.09718524132256</v>
      </c>
      <c r="F62" s="10">
        <v>162555.6035382711</v>
      </c>
      <c r="G62" s="10" t="s">
        <v>114</v>
      </c>
      <c r="H62" s="10">
        <v>386861.41917123407</v>
      </c>
      <c r="I62" s="11">
        <v>380708.53996619111</v>
      </c>
      <c r="J62" s="10">
        <v>5.4617997051082785</v>
      </c>
      <c r="K62" s="11">
        <v>93.622866690239448</v>
      </c>
      <c r="L62" s="11">
        <v>7.6983108224629309</v>
      </c>
      <c r="M62" s="11">
        <v>394.34421646229328</v>
      </c>
      <c r="N62" s="11">
        <v>17849.232474831544</v>
      </c>
      <c r="O62" s="10">
        <v>17213.288401351572</v>
      </c>
      <c r="P62" s="10">
        <v>4.0795705428118376</v>
      </c>
      <c r="Q62" s="11">
        <v>22.07397225220064</v>
      </c>
      <c r="R62" s="11">
        <v>27.628365486855994</v>
      </c>
      <c r="S62" s="10">
        <v>27.489523656469409</v>
      </c>
      <c r="T62" s="11">
        <v>145.07275983792201</v>
      </c>
      <c r="U62" s="10">
        <v>140.16318507349195</v>
      </c>
      <c r="V62" s="10">
        <v>147.41556029978472</v>
      </c>
      <c r="W62" s="10" t="s">
        <v>114</v>
      </c>
      <c r="X62" s="10">
        <v>0.11247928161785024</v>
      </c>
      <c r="Y62" s="11">
        <v>1092.1659746672121</v>
      </c>
      <c r="Z62" s="10">
        <v>3.7162017642269083</v>
      </c>
      <c r="AA62" s="10">
        <v>1.0103664071577672</v>
      </c>
      <c r="AB62" s="10">
        <v>0.90393406633039186</v>
      </c>
      <c r="AC62" s="10">
        <v>0.12034115325317979</v>
      </c>
      <c r="AD62" s="10" t="s">
        <v>114</v>
      </c>
      <c r="AE62" s="10">
        <v>2.8435466868133514</v>
      </c>
      <c r="AF62" s="10">
        <v>3.6525887714023509E-3</v>
      </c>
      <c r="AG62" s="11">
        <v>50.869495098321266</v>
      </c>
      <c r="AH62" s="11">
        <v>0.25807419483373706</v>
      </c>
      <c r="AI62" s="11">
        <v>0.45164526754318646</v>
      </c>
      <c r="AJ62" s="11">
        <v>3.4889541016818383E-2</v>
      </c>
      <c r="AK62" s="11">
        <v>0.16214540042643757</v>
      </c>
      <c r="AL62" s="11">
        <v>3.1398289942667475E-2</v>
      </c>
      <c r="AM62" s="11">
        <v>9.2639037713555562E-3</v>
      </c>
      <c r="AN62" s="11">
        <v>5.071837676168859E-2</v>
      </c>
      <c r="AO62" s="11">
        <v>9.4777036342789424E-3</v>
      </c>
      <c r="AP62" s="11">
        <v>5.4367710700203499E-2</v>
      </c>
      <c r="AQ62" s="11">
        <v>1.8690977958611046E-2</v>
      </c>
      <c r="AR62" s="11">
        <v>6.6831175835338569E-2</v>
      </c>
      <c r="AS62" s="11">
        <v>8.503591354733114E-3</v>
      </c>
      <c r="AT62" s="11">
        <v>6.7303643045698469E-2</v>
      </c>
      <c r="AU62" s="11">
        <v>1.1689305765613642E-2</v>
      </c>
      <c r="AV62" s="10">
        <v>8.9439427890192588E-2</v>
      </c>
      <c r="AW62" s="10" t="s">
        <v>114</v>
      </c>
      <c r="AX62" s="10" t="s">
        <v>114</v>
      </c>
      <c r="AY62" s="10">
        <v>1.4375899087782381E-2</v>
      </c>
      <c r="AZ62" s="10">
        <v>12.150027811895008</v>
      </c>
      <c r="BA62" s="10">
        <v>10.933409510603722</v>
      </c>
      <c r="BB62" s="11">
        <v>11.429184837540801</v>
      </c>
      <c r="BC62" s="11" t="s">
        <v>114</v>
      </c>
      <c r="BD62" s="11">
        <v>35.62937628009314</v>
      </c>
    </row>
    <row r="63" spans="1:56" x14ac:dyDescent="0.3">
      <c r="A63" t="s">
        <v>174</v>
      </c>
      <c r="B63" t="s">
        <v>62</v>
      </c>
      <c r="C63" s="10">
        <v>3923.371123941381</v>
      </c>
      <c r="D63" s="11">
        <v>4023.9675298525385</v>
      </c>
      <c r="E63" s="10">
        <v>547.76002201674703</v>
      </c>
      <c r="F63" s="10">
        <v>145281.78590201715</v>
      </c>
      <c r="G63" s="10">
        <v>178.21447286176885</v>
      </c>
      <c r="H63" s="10">
        <v>360000.5141422631</v>
      </c>
      <c r="I63" s="11">
        <v>355035.24262656225</v>
      </c>
      <c r="J63" s="10">
        <v>12.506885606344241</v>
      </c>
      <c r="K63" s="11">
        <v>33.196507968871522</v>
      </c>
      <c r="L63" s="11">
        <v>6.5233372903548448</v>
      </c>
      <c r="M63" s="11">
        <v>155.94364585331223</v>
      </c>
      <c r="N63" s="11">
        <v>4324.6518781649384</v>
      </c>
      <c r="O63" s="10">
        <v>4349.6550382201376</v>
      </c>
      <c r="P63" s="10">
        <v>0.83399864775186727</v>
      </c>
      <c r="Q63" s="11">
        <v>9.5298620818084157</v>
      </c>
      <c r="R63" s="11">
        <v>22.142377180781406</v>
      </c>
      <c r="S63" s="10">
        <v>22.124398700891362</v>
      </c>
      <c r="T63" s="11">
        <v>178.67759348419605</v>
      </c>
      <c r="U63" s="10">
        <v>174.13160104393191</v>
      </c>
      <c r="V63" s="10">
        <v>34.833892529390496</v>
      </c>
      <c r="W63" s="10" t="s">
        <v>114</v>
      </c>
      <c r="X63" s="10">
        <v>0.70184907068105595</v>
      </c>
      <c r="Y63" s="11">
        <v>1210.2932864526767</v>
      </c>
      <c r="Z63" s="10">
        <v>5.0468782365280083</v>
      </c>
      <c r="AA63" s="10" t="s">
        <v>114</v>
      </c>
      <c r="AB63" s="10" t="s">
        <v>114</v>
      </c>
      <c r="AC63" s="10">
        <v>0.35516471468920058</v>
      </c>
      <c r="AD63" s="10" t="s">
        <v>114</v>
      </c>
      <c r="AE63" s="10">
        <v>2.3286066857578152</v>
      </c>
      <c r="AF63" s="10">
        <v>1.6569507448565786E-2</v>
      </c>
      <c r="AG63" s="11">
        <v>57.895691260167787</v>
      </c>
      <c r="AH63" s="11">
        <v>1.2696194415543585</v>
      </c>
      <c r="AI63" s="11">
        <v>3.0178661763677601</v>
      </c>
      <c r="AJ63" s="11">
        <v>0.25810745252724276</v>
      </c>
      <c r="AK63" s="11">
        <v>1.1421540742546796</v>
      </c>
      <c r="AL63" s="11">
        <v>0.23375478873498387</v>
      </c>
      <c r="AM63" s="11">
        <v>6.363569747072241E-2</v>
      </c>
      <c r="AN63" s="11">
        <v>0.31884890088309004</v>
      </c>
      <c r="AO63" s="11">
        <v>4.8293855759672828E-2</v>
      </c>
      <c r="AP63" s="11">
        <v>0.32985070660930499</v>
      </c>
      <c r="AQ63" s="11">
        <v>7.861550762580119E-2</v>
      </c>
      <c r="AR63" s="11">
        <v>0.25675463991778785</v>
      </c>
      <c r="AS63" s="11">
        <v>3.601230882325606E-2</v>
      </c>
      <c r="AT63" s="11">
        <v>0.25416508963817086</v>
      </c>
      <c r="AU63" s="11">
        <v>4.0158185370923E-2</v>
      </c>
      <c r="AV63" s="10">
        <v>9.8731739594955376E-2</v>
      </c>
      <c r="AW63" s="10" t="s">
        <v>114</v>
      </c>
      <c r="AX63" s="10" t="s">
        <v>114</v>
      </c>
      <c r="AY63" s="10">
        <v>1.8851133241923255E-2</v>
      </c>
      <c r="AZ63" s="10">
        <v>10.29572894684096</v>
      </c>
      <c r="BA63" s="10">
        <v>9.2064073061746399</v>
      </c>
      <c r="BB63" s="11">
        <v>9.549191199279738</v>
      </c>
      <c r="BC63" s="11" t="s">
        <v>114</v>
      </c>
      <c r="BD63" s="11">
        <v>28.061525229662276</v>
      </c>
    </row>
    <row r="64" spans="1:56" x14ac:dyDescent="0.3">
      <c r="A64" t="s">
        <v>175</v>
      </c>
      <c r="B64" t="s">
        <v>62</v>
      </c>
      <c r="C64" s="10">
        <v>4159.840088224787</v>
      </c>
      <c r="D64" s="11">
        <v>6363.5276940617614</v>
      </c>
      <c r="E64" s="10">
        <v>561.43745182792804</v>
      </c>
      <c r="F64" s="10">
        <v>169655.18545806778</v>
      </c>
      <c r="G64" s="10">
        <v>224.93807553791041</v>
      </c>
      <c r="H64" s="10">
        <v>425565.98509596259</v>
      </c>
      <c r="I64" s="11">
        <v>415950.60936309089</v>
      </c>
      <c r="J64" s="10">
        <v>10.038162486634617</v>
      </c>
      <c r="K64" s="11">
        <v>19.681014876951409</v>
      </c>
      <c r="L64" s="11">
        <v>8.3104665029791249</v>
      </c>
      <c r="M64" s="11">
        <v>249.10409500675539</v>
      </c>
      <c r="N64" s="11">
        <v>3851.5145198333421</v>
      </c>
      <c r="O64" s="10">
        <v>3837.4306253021332</v>
      </c>
      <c r="P64" s="10">
        <v>0.7561157363331521</v>
      </c>
      <c r="Q64" s="11">
        <v>8.4400649192733752</v>
      </c>
      <c r="R64" s="11">
        <v>24.909459616445783</v>
      </c>
      <c r="S64" s="10">
        <v>25.277505185794375</v>
      </c>
      <c r="T64" s="11">
        <v>174.10036353337927</v>
      </c>
      <c r="U64" s="10">
        <v>179.29377453083185</v>
      </c>
      <c r="V64" s="10">
        <v>45.981828506130363</v>
      </c>
      <c r="W64" s="10" t="s">
        <v>114</v>
      </c>
      <c r="X64" s="10">
        <v>0.73228889667845865</v>
      </c>
      <c r="Y64" s="11">
        <v>1336.6989892775173</v>
      </c>
      <c r="Z64" s="10">
        <v>3.2411897162291607</v>
      </c>
      <c r="AA64" s="10">
        <v>1.406977289879827</v>
      </c>
      <c r="AB64" s="10">
        <v>1.3859162075193163</v>
      </c>
      <c r="AC64" s="10">
        <v>0.4276511074738536</v>
      </c>
      <c r="AD64" s="10" t="s">
        <v>114</v>
      </c>
      <c r="AE64" s="10">
        <v>2.0029404676986053</v>
      </c>
      <c r="AF64" s="10">
        <v>1.9197237146073257E-2</v>
      </c>
      <c r="AG64" s="11">
        <v>279.00473939257569</v>
      </c>
      <c r="AH64" s="11">
        <v>0.9783022618795385</v>
      </c>
      <c r="AI64" s="11">
        <v>2.0353756595987789</v>
      </c>
      <c r="AJ64" s="11">
        <v>0.18424453009228323</v>
      </c>
      <c r="AK64" s="11">
        <v>0.79448271476742771</v>
      </c>
      <c r="AL64" s="11">
        <v>0.16200382353810783</v>
      </c>
      <c r="AM64" s="11">
        <v>4.8632092816571382E-2</v>
      </c>
      <c r="AN64" s="11">
        <v>0.19509753729989404</v>
      </c>
      <c r="AO64" s="11">
        <v>3.2224118195732697E-2</v>
      </c>
      <c r="AP64" s="11">
        <v>0.20619869961946147</v>
      </c>
      <c r="AQ64" s="11">
        <v>5.3362274052525943E-2</v>
      </c>
      <c r="AR64" s="11">
        <v>0.1624683222333845</v>
      </c>
      <c r="AS64" s="11">
        <v>2.3896503674380475E-2</v>
      </c>
      <c r="AT64" s="11">
        <v>0.17580975952353978</v>
      </c>
      <c r="AU64" s="11">
        <v>3.166351799874452E-2</v>
      </c>
      <c r="AV64" s="10" t="s">
        <v>114</v>
      </c>
      <c r="AW64" s="10" t="s">
        <v>114</v>
      </c>
      <c r="AX64" s="10" t="s">
        <v>114</v>
      </c>
      <c r="AY64" s="10">
        <v>2.2628644494867831E-2</v>
      </c>
      <c r="AZ64" s="10">
        <v>10.312924683203795</v>
      </c>
      <c r="BA64" s="10">
        <v>9.222215622171122</v>
      </c>
      <c r="BB64" s="11">
        <v>9.5940542726895721</v>
      </c>
      <c r="BC64" s="11" t="s">
        <v>114</v>
      </c>
      <c r="BD64" s="11">
        <v>28.963249109537351</v>
      </c>
    </row>
    <row r="65" spans="1:56" x14ac:dyDescent="0.3">
      <c r="A65" t="s">
        <v>176</v>
      </c>
      <c r="B65" t="s">
        <v>62</v>
      </c>
      <c r="C65" s="10">
        <v>4596.5155819869906</v>
      </c>
      <c r="D65" s="11">
        <v>2074.1611486669203</v>
      </c>
      <c r="E65" s="10">
        <v>83.653377634589944</v>
      </c>
      <c r="F65" s="10">
        <v>167906.01307147773</v>
      </c>
      <c r="G65" s="10">
        <v>91.583405616330054</v>
      </c>
      <c r="H65" s="10">
        <v>406350.25803709036</v>
      </c>
      <c r="I65" s="11">
        <v>406322.71507241734</v>
      </c>
      <c r="J65" s="10">
        <v>6.1181867010090416</v>
      </c>
      <c r="K65" s="11">
        <v>12.081571765871182</v>
      </c>
      <c r="L65" s="11">
        <v>12.975562944945056</v>
      </c>
      <c r="M65" s="11">
        <v>785.19366814818</v>
      </c>
      <c r="N65" s="11">
        <v>221.274784872163</v>
      </c>
      <c r="O65" s="10">
        <v>229.35746666621523</v>
      </c>
      <c r="P65" s="10">
        <v>0.66864348865797174</v>
      </c>
      <c r="Q65" s="11">
        <v>10.379035993166411</v>
      </c>
      <c r="R65" s="11">
        <v>19.267506864658909</v>
      </c>
      <c r="S65" s="10">
        <v>18.838781629261032</v>
      </c>
      <c r="T65" s="11">
        <v>158.4539054364414</v>
      </c>
      <c r="U65" s="10">
        <v>164.04994147498078</v>
      </c>
      <c r="V65" s="10">
        <v>11.095756587868589</v>
      </c>
      <c r="W65" s="10" t="s">
        <v>114</v>
      </c>
      <c r="X65" s="10">
        <v>0.22490191819367239</v>
      </c>
      <c r="Y65" s="11">
        <v>2139.415915029022</v>
      </c>
      <c r="Z65" s="10">
        <v>6.6755307365470591</v>
      </c>
      <c r="AA65" s="10" t="s">
        <v>114</v>
      </c>
      <c r="AB65" s="10" t="s">
        <v>114</v>
      </c>
      <c r="AC65" s="10">
        <v>0.6209030393571392</v>
      </c>
      <c r="AD65" s="10" t="s">
        <v>114</v>
      </c>
      <c r="AE65" s="10">
        <v>0.58030675729497971</v>
      </c>
      <c r="AF65" s="10">
        <v>4.669558062822458E-3</v>
      </c>
      <c r="AG65" s="11">
        <v>226.69865528186332</v>
      </c>
      <c r="AH65" s="11">
        <v>0.72668794437507267</v>
      </c>
      <c r="AI65" s="11">
        <v>1.7967733341476337</v>
      </c>
      <c r="AJ65" s="11">
        <v>9.7469753302170295E-2</v>
      </c>
      <c r="AK65" s="11">
        <v>0.4798397344478737</v>
      </c>
      <c r="AL65" s="11">
        <v>8.890631649732772E-2</v>
      </c>
      <c r="AM65" s="11">
        <v>3.7570688566823371E-2</v>
      </c>
      <c r="AN65" s="11">
        <v>0.15270284949428714</v>
      </c>
      <c r="AO65" s="11">
        <v>2.8083520720253718E-2</v>
      </c>
      <c r="AP65" s="11">
        <v>0.21516577415558505</v>
      </c>
      <c r="AQ65" s="11">
        <v>5.6764249637658276E-2</v>
      </c>
      <c r="AR65" s="11">
        <v>0.22702913334356381</v>
      </c>
      <c r="AS65" s="11">
        <v>3.5473098649661895E-2</v>
      </c>
      <c r="AT65" s="11">
        <v>0.2516519551104453</v>
      </c>
      <c r="AU65" s="11">
        <v>4.2648464165114933E-2</v>
      </c>
      <c r="AV65" s="10">
        <v>0.12879642940751257</v>
      </c>
      <c r="AW65" s="10" t="s">
        <v>114</v>
      </c>
      <c r="AX65" s="10" t="s">
        <v>114</v>
      </c>
      <c r="AY65" s="10">
        <v>5.6110976460670529E-2</v>
      </c>
      <c r="AZ65" s="10">
        <v>40.487078179610286</v>
      </c>
      <c r="BA65" s="10">
        <v>36.576159137120413</v>
      </c>
      <c r="BB65" s="11">
        <v>37.883422099976151</v>
      </c>
      <c r="BC65" s="11" t="s">
        <v>114</v>
      </c>
      <c r="BD65" s="11">
        <v>41.020461147876375</v>
      </c>
    </row>
    <row r="66" spans="1:56" x14ac:dyDescent="0.3">
      <c r="A66" t="s">
        <v>177</v>
      </c>
      <c r="B66" t="s">
        <v>62</v>
      </c>
      <c r="C66" s="10">
        <v>4128.0634652909957</v>
      </c>
      <c r="D66" s="11">
        <v>4991.2290217697873</v>
      </c>
      <c r="E66" s="10">
        <v>1072.7044485115973</v>
      </c>
      <c r="F66" s="10">
        <v>155845.72685613087</v>
      </c>
      <c r="G66" s="10">
        <v>290.08938434524521</v>
      </c>
      <c r="H66" s="10">
        <v>398737.11090879369</v>
      </c>
      <c r="I66" s="11">
        <v>392027.48757286475</v>
      </c>
      <c r="J66" s="10">
        <v>19.561085215796144</v>
      </c>
      <c r="K66" s="11">
        <v>49.866254688157689</v>
      </c>
      <c r="L66" s="11">
        <v>9.18130840895844</v>
      </c>
      <c r="M66" s="11">
        <v>209.93462544137819</v>
      </c>
      <c r="N66" s="11">
        <v>9106.1083002595569</v>
      </c>
      <c r="O66" s="10">
        <v>8774.9330396189889</v>
      </c>
      <c r="P66" s="10">
        <v>1.4416950868417173</v>
      </c>
      <c r="Q66" s="11">
        <v>11.92756919911813</v>
      </c>
      <c r="R66" s="11">
        <v>25.25693021592291</v>
      </c>
      <c r="S66" s="10">
        <v>25.081743759520471</v>
      </c>
      <c r="T66" s="11">
        <v>153.73320966865708</v>
      </c>
      <c r="U66" s="10">
        <v>149.25861723834024</v>
      </c>
      <c r="V66" s="10">
        <v>84.336846464116348</v>
      </c>
      <c r="W66" s="10" t="s">
        <v>114</v>
      </c>
      <c r="X66" s="10">
        <v>1.4897040582640091</v>
      </c>
      <c r="Y66" s="11">
        <v>1415.7890685658779</v>
      </c>
      <c r="Z66" s="10">
        <v>3.8971700179696871</v>
      </c>
      <c r="AA66" s="10">
        <v>0.52085865459687763</v>
      </c>
      <c r="AB66" s="10">
        <v>0.45315822265500144</v>
      </c>
      <c r="AC66" s="10">
        <v>0.28740129387996594</v>
      </c>
      <c r="AD66" s="10" t="s">
        <v>114</v>
      </c>
      <c r="AE66" s="10">
        <v>2.6743723409275133</v>
      </c>
      <c r="AF66" s="10">
        <v>3.6694101052050627E-2</v>
      </c>
      <c r="AG66" s="11">
        <v>62.117637647007442</v>
      </c>
      <c r="AH66" s="11">
        <v>0.8451954181670972</v>
      </c>
      <c r="AI66" s="11">
        <v>1.8408754759145782</v>
      </c>
      <c r="AJ66" s="11">
        <v>0.16272265542669401</v>
      </c>
      <c r="AK66" s="11">
        <v>0.68355278688009591</v>
      </c>
      <c r="AL66" s="11">
        <v>0.15948863301512944</v>
      </c>
      <c r="AM66" s="11">
        <v>3.3926898675164976E-2</v>
      </c>
      <c r="AN66" s="11">
        <v>0.1703538950935729</v>
      </c>
      <c r="AO66" s="11">
        <v>2.7911142986405933E-2</v>
      </c>
      <c r="AP66" s="11">
        <v>0.17765475966768407</v>
      </c>
      <c r="AQ66" s="11">
        <v>4.5552557180661674E-2</v>
      </c>
      <c r="AR66" s="11">
        <v>0.14577629410319415</v>
      </c>
      <c r="AS66" s="11">
        <v>2.2136594410158753E-2</v>
      </c>
      <c r="AT66" s="11">
        <v>0.1628406124723904</v>
      </c>
      <c r="AU66" s="11">
        <v>2.3370397205980858E-2</v>
      </c>
      <c r="AV66" s="10" t="s">
        <v>114</v>
      </c>
      <c r="AW66" s="10" t="s">
        <v>114</v>
      </c>
      <c r="AX66" s="10" t="s">
        <v>114</v>
      </c>
      <c r="AY66" s="10">
        <v>2.7827609410288775E-2</v>
      </c>
      <c r="AZ66" s="10">
        <v>11.509902755026586</v>
      </c>
      <c r="BA66" s="10">
        <v>10.370953594558902</v>
      </c>
      <c r="BB66" s="11">
        <v>10.722531948436899</v>
      </c>
      <c r="BC66" s="11" t="s">
        <v>114</v>
      </c>
      <c r="BD66" s="11">
        <v>37.054128661284601</v>
      </c>
    </row>
    <row r="67" spans="1:56" x14ac:dyDescent="0.3">
      <c r="A67" t="s">
        <v>178</v>
      </c>
      <c r="B67" t="s">
        <v>62</v>
      </c>
      <c r="C67" s="10">
        <v>6125.2456377322505</v>
      </c>
      <c r="D67" s="11">
        <v>1900.7959186868261</v>
      </c>
      <c r="E67" s="10">
        <v>178.61253816663069</v>
      </c>
      <c r="F67" s="10">
        <v>150319.10935213306</v>
      </c>
      <c r="G67" s="10" t="s">
        <v>114</v>
      </c>
      <c r="H67" s="10">
        <v>380094.71415684803</v>
      </c>
      <c r="I67" s="11">
        <v>375780.0654805018</v>
      </c>
      <c r="J67" s="10">
        <v>15.418641929083494</v>
      </c>
      <c r="K67" s="11">
        <v>98.495867192562173</v>
      </c>
      <c r="L67" s="11">
        <v>113.6571843231732</v>
      </c>
      <c r="M67" s="11">
        <v>330.0240086058958</v>
      </c>
      <c r="N67" s="11">
        <v>13953.87693406184</v>
      </c>
      <c r="O67" s="10">
        <v>13362.34936037399</v>
      </c>
      <c r="P67" s="10">
        <v>2.6218361407545627</v>
      </c>
      <c r="Q67" s="11">
        <v>18.968502555795165</v>
      </c>
      <c r="R67" s="11">
        <v>31.35706320392438</v>
      </c>
      <c r="S67" s="10">
        <v>32.013819781487143</v>
      </c>
      <c r="T67" s="11">
        <v>148.21790328996732</v>
      </c>
      <c r="U67" s="10">
        <v>153.04534719870173</v>
      </c>
      <c r="V67" s="10">
        <v>68.747413708584517</v>
      </c>
      <c r="W67" s="10" t="s">
        <v>114</v>
      </c>
      <c r="X67" s="10">
        <v>0.15268049881123893</v>
      </c>
      <c r="Y67" s="11">
        <v>1424.4831602394695</v>
      </c>
      <c r="Z67" s="10">
        <v>7.0781139998438078</v>
      </c>
      <c r="AA67" s="10">
        <v>0.75871968825332992</v>
      </c>
      <c r="AB67" s="10">
        <v>0.71077268871322574</v>
      </c>
      <c r="AC67" s="10">
        <v>0.23422447572562796</v>
      </c>
      <c r="AD67" s="10" t="s">
        <v>114</v>
      </c>
      <c r="AE67" s="10">
        <v>2.6676598379268768</v>
      </c>
      <c r="AF67" s="10">
        <v>3.1560055937397045E-3</v>
      </c>
      <c r="AG67" s="11">
        <v>193.57288722378487</v>
      </c>
      <c r="AH67" s="11">
        <v>0.98211234172757422</v>
      </c>
      <c r="AI67" s="11">
        <v>1.259748807283575</v>
      </c>
      <c r="AJ67" s="11">
        <v>0.13299411961690927</v>
      </c>
      <c r="AK67" s="11">
        <v>0.62571476611777288</v>
      </c>
      <c r="AL67" s="11">
        <v>0.12514929262385627</v>
      </c>
      <c r="AM67" s="11">
        <v>4.0352780349218458E-2</v>
      </c>
      <c r="AN67" s="11">
        <v>0.19656566955175164</v>
      </c>
      <c r="AO67" s="11">
        <v>3.3857140053127018E-2</v>
      </c>
      <c r="AP67" s="11">
        <v>0.25655025700094908</v>
      </c>
      <c r="AQ67" s="11">
        <v>7.0701672862742079E-2</v>
      </c>
      <c r="AR67" s="11">
        <v>0.261666761764903</v>
      </c>
      <c r="AS67" s="11">
        <v>3.9499083360036026E-2</v>
      </c>
      <c r="AT67" s="11">
        <v>0.28468326220472162</v>
      </c>
      <c r="AU67" s="11">
        <v>4.5780482352415684E-2</v>
      </c>
      <c r="AV67" s="10">
        <v>0.11908726946021937</v>
      </c>
      <c r="AW67" s="10" t="s">
        <v>114</v>
      </c>
      <c r="AX67" s="10" t="s">
        <v>114</v>
      </c>
      <c r="AY67" s="10" t="s">
        <v>114</v>
      </c>
      <c r="AZ67" s="10">
        <v>37.799971166391842</v>
      </c>
      <c r="BA67" s="10">
        <v>34.099493751097789</v>
      </c>
      <c r="BB67" s="11">
        <v>35.325502751927608</v>
      </c>
      <c r="BC67" s="11" t="s">
        <v>114</v>
      </c>
      <c r="BD67" s="11">
        <v>47.033718572833038</v>
      </c>
    </row>
    <row r="68" spans="1:56" x14ac:dyDescent="0.3">
      <c r="A68" t="s">
        <v>179</v>
      </c>
      <c r="B68" t="s">
        <v>62</v>
      </c>
      <c r="C68" s="10">
        <v>4429.779951974805</v>
      </c>
      <c r="D68" s="11">
        <v>1495.9154530188566</v>
      </c>
      <c r="E68" s="10">
        <v>269.79835892160975</v>
      </c>
      <c r="F68" s="10">
        <v>154563.02287538489</v>
      </c>
      <c r="G68" s="10">
        <v>105.62463394808832</v>
      </c>
      <c r="H68" s="10">
        <v>374773.26018403796</v>
      </c>
      <c r="I68" s="11">
        <v>370024.04379230709</v>
      </c>
      <c r="J68" s="10">
        <v>7.4994719742468714</v>
      </c>
      <c r="K68" s="11">
        <v>18.430502175285639</v>
      </c>
      <c r="L68" s="11">
        <v>3.8824483337218747</v>
      </c>
      <c r="M68" s="11">
        <v>290.7361843267646</v>
      </c>
      <c r="N68" s="11">
        <v>3837.7704978369397</v>
      </c>
      <c r="O68" s="10">
        <v>3864.3773412114592</v>
      </c>
      <c r="P68" s="10">
        <v>1.2200673522248324</v>
      </c>
      <c r="Q68" s="11">
        <v>10.77909592534342</v>
      </c>
      <c r="R68" s="11">
        <v>22.807258078630817</v>
      </c>
      <c r="S68" s="10">
        <v>22.65747557066598</v>
      </c>
      <c r="T68" s="11">
        <v>117.72714854381245</v>
      </c>
      <c r="U68" s="10">
        <v>117.51091796412071</v>
      </c>
      <c r="V68" s="10">
        <v>35.130589775893789</v>
      </c>
      <c r="W68" s="10">
        <v>11.602592360165918</v>
      </c>
      <c r="X68" s="10">
        <v>0.33853762991288749</v>
      </c>
      <c r="Y68" s="11">
        <v>1381.2024543688303</v>
      </c>
      <c r="Z68" s="10">
        <v>3.5549499351946454</v>
      </c>
      <c r="AA68" s="10" t="s">
        <v>114</v>
      </c>
      <c r="AB68" s="10" t="s">
        <v>114</v>
      </c>
      <c r="AC68" s="10">
        <v>0.23492063414583883</v>
      </c>
      <c r="AD68" s="10" t="s">
        <v>114</v>
      </c>
      <c r="AE68" s="10">
        <v>2.8546514402967107</v>
      </c>
      <c r="AF68" s="10">
        <v>9.6474244980195595E-3</v>
      </c>
      <c r="AG68" s="11">
        <v>71.477404861847035</v>
      </c>
      <c r="AH68" s="11">
        <v>0.64368624570552591</v>
      </c>
      <c r="AI68" s="11">
        <v>1.5224207976439008</v>
      </c>
      <c r="AJ68" s="11">
        <v>9.8868556271066457E-2</v>
      </c>
      <c r="AK68" s="11">
        <v>0.46841855317958342</v>
      </c>
      <c r="AL68" s="11">
        <v>0.11201644660132971</v>
      </c>
      <c r="AM68" s="11">
        <v>3.1308759804418836E-2</v>
      </c>
      <c r="AN68" s="11">
        <v>0.13696317140918279</v>
      </c>
      <c r="AO68" s="11">
        <v>2.1735650533315505E-2</v>
      </c>
      <c r="AP68" s="11">
        <v>0.16005368477896786</v>
      </c>
      <c r="AQ68" s="11">
        <v>4.5451697024670348E-2</v>
      </c>
      <c r="AR68" s="11">
        <v>0.16321028320185521</v>
      </c>
      <c r="AS68" s="11">
        <v>2.3476545110167137E-2</v>
      </c>
      <c r="AT68" s="11">
        <v>0.17449005692609956</v>
      </c>
      <c r="AU68" s="11">
        <v>3.0853208322806205E-2</v>
      </c>
      <c r="AV68" s="10" t="s">
        <v>114</v>
      </c>
      <c r="AW68" s="10" t="s">
        <v>114</v>
      </c>
      <c r="AX68" s="10" t="s">
        <v>114</v>
      </c>
      <c r="AY68" s="10">
        <v>2.4287843918365786E-2</v>
      </c>
      <c r="AZ68" s="10">
        <v>16.093120484722487</v>
      </c>
      <c r="BA68" s="10">
        <v>14.66451830906103</v>
      </c>
      <c r="BB68" s="11">
        <v>15.177425089505972</v>
      </c>
      <c r="BC68" s="11" t="s">
        <v>114</v>
      </c>
      <c r="BD68" s="11">
        <v>35.193925228217907</v>
      </c>
    </row>
    <row r="69" spans="1:56" x14ac:dyDescent="0.3">
      <c r="A69" t="s">
        <v>180</v>
      </c>
      <c r="B69" t="s">
        <v>62</v>
      </c>
      <c r="C69" s="10">
        <v>5080.0363062277602</v>
      </c>
      <c r="D69" s="11">
        <v>1707.5100433452594</v>
      </c>
      <c r="E69" s="10">
        <v>253.59162407950046</v>
      </c>
      <c r="F69" s="10">
        <v>152513.68221340075</v>
      </c>
      <c r="G69" s="10">
        <v>78.016005384713253</v>
      </c>
      <c r="H69" s="10">
        <v>374465.19629338459</v>
      </c>
      <c r="I69" s="11">
        <v>369822.63361738354</v>
      </c>
      <c r="J69" s="10">
        <v>11.951255839458042</v>
      </c>
      <c r="K69" s="11">
        <v>71.024513043569272</v>
      </c>
      <c r="L69" s="11">
        <v>16.716841348482781</v>
      </c>
      <c r="M69" s="11">
        <v>231.99624691185943</v>
      </c>
      <c r="N69" s="11">
        <v>11855.511012820511</v>
      </c>
      <c r="O69" s="10">
        <v>11434.759219263971</v>
      </c>
      <c r="P69" s="10">
        <v>1.7605110709379523</v>
      </c>
      <c r="Q69" s="11">
        <v>15.718743622947237</v>
      </c>
      <c r="R69" s="11">
        <v>24.706752615825025</v>
      </c>
      <c r="S69" s="10">
        <v>24.552366898967602</v>
      </c>
      <c r="T69" s="11">
        <v>110.52940995811294</v>
      </c>
      <c r="U69" s="10">
        <v>112.79256494522903</v>
      </c>
      <c r="V69" s="10">
        <v>89.944698441911996</v>
      </c>
      <c r="W69" s="10" t="s">
        <v>114</v>
      </c>
      <c r="X69" s="10" t="s">
        <v>114</v>
      </c>
      <c r="Y69" s="11">
        <v>1352.4740488174125</v>
      </c>
      <c r="Z69" s="10">
        <v>4.1002964809849018</v>
      </c>
      <c r="AA69" s="10">
        <v>0.5801813539877263</v>
      </c>
      <c r="AB69" s="10">
        <v>0.49529853286142578</v>
      </c>
      <c r="AC69" s="10">
        <v>0.14584353775249231</v>
      </c>
      <c r="AD69" s="10" t="s">
        <v>114</v>
      </c>
      <c r="AE69" s="10">
        <v>3.3927392247525789</v>
      </c>
      <c r="AF69" s="10">
        <v>4.7868946243166703E-3</v>
      </c>
      <c r="AG69" s="11">
        <v>87.369541658921264</v>
      </c>
      <c r="AH69" s="11">
        <v>0.37105289780194278</v>
      </c>
      <c r="AI69" s="11">
        <v>0.67531390710448536</v>
      </c>
      <c r="AJ69" s="11">
        <v>6.4358106024527212E-2</v>
      </c>
      <c r="AK69" s="11">
        <v>0.2629834469192483</v>
      </c>
      <c r="AL69" s="11">
        <v>5.7583532827083811E-2</v>
      </c>
      <c r="AM69" s="11">
        <v>1.888608229708845E-2</v>
      </c>
      <c r="AN69" s="11">
        <v>8.4690298631893729E-2</v>
      </c>
      <c r="AO69" s="11">
        <v>1.391351442786762E-2</v>
      </c>
      <c r="AP69" s="11">
        <v>0.10721840486701736</v>
      </c>
      <c r="AQ69" s="11">
        <v>2.7617198680216441E-2</v>
      </c>
      <c r="AR69" s="11">
        <v>9.0282368643441815E-2</v>
      </c>
      <c r="AS69" s="11">
        <v>1.4170419747565163E-2</v>
      </c>
      <c r="AT69" s="11">
        <v>9.9381471317591383E-2</v>
      </c>
      <c r="AU69" s="11">
        <v>1.4167605427078614E-2</v>
      </c>
      <c r="AV69" s="10">
        <v>7.2566868684221561E-2</v>
      </c>
      <c r="AW69" s="10" t="s">
        <v>114</v>
      </c>
      <c r="AX69" s="10" t="s">
        <v>114</v>
      </c>
      <c r="AY69" s="10">
        <v>1.4074106256574159E-2</v>
      </c>
      <c r="AZ69" s="10">
        <v>13.297926722917737</v>
      </c>
      <c r="BA69" s="10">
        <v>12.027810707385122</v>
      </c>
      <c r="BB69" s="11">
        <v>12.515258041002761</v>
      </c>
      <c r="BC69" s="11" t="s">
        <v>114</v>
      </c>
      <c r="BD69" s="11">
        <v>39.964222570802242</v>
      </c>
    </row>
    <row r="70" spans="1:56" x14ac:dyDescent="0.3">
      <c r="A70" t="s">
        <v>181</v>
      </c>
      <c r="B70" t="s">
        <v>62</v>
      </c>
      <c r="C70" s="10">
        <v>5071.3604696970524</v>
      </c>
      <c r="D70" s="11">
        <v>1714.9128871637274</v>
      </c>
      <c r="E70" s="10">
        <v>221.00928770624344</v>
      </c>
      <c r="F70" s="10">
        <v>159178.29867021399</v>
      </c>
      <c r="G70" s="10">
        <v>124.06748341948274</v>
      </c>
      <c r="H70" s="10">
        <v>387396.52744169784</v>
      </c>
      <c r="I70" s="11">
        <v>382116.35204274382</v>
      </c>
      <c r="J70" s="10">
        <v>8.7900599610878167</v>
      </c>
      <c r="K70" s="11">
        <v>20.073904344245896</v>
      </c>
      <c r="L70" s="11">
        <v>3.8239101363396788</v>
      </c>
      <c r="M70" s="11">
        <v>162.11905183456116</v>
      </c>
      <c r="N70" s="11">
        <v>2687.6968307757938</v>
      </c>
      <c r="O70" s="10">
        <v>2720.9389088724056</v>
      </c>
      <c r="P70" s="10">
        <v>0.61430414913012954</v>
      </c>
      <c r="Q70" s="11">
        <v>7.7814218998608675</v>
      </c>
      <c r="R70" s="11">
        <v>23.926083867848348</v>
      </c>
      <c r="S70" s="10">
        <v>23.356649996176323</v>
      </c>
      <c r="T70" s="11">
        <v>126.54561275755314</v>
      </c>
      <c r="U70" s="10">
        <v>124.22620878049071</v>
      </c>
      <c r="V70" s="10">
        <v>32.703432691471235</v>
      </c>
      <c r="W70" s="10" t="s">
        <v>114</v>
      </c>
      <c r="X70" s="10">
        <v>0.33633342014121848</v>
      </c>
      <c r="Y70" s="11">
        <v>1303.084567788683</v>
      </c>
      <c r="Z70" s="10">
        <v>3.6193928202465053</v>
      </c>
      <c r="AA70" s="10" t="s">
        <v>114</v>
      </c>
      <c r="AB70" s="10" t="s">
        <v>114</v>
      </c>
      <c r="AC70" s="10">
        <v>0.11333089444092552</v>
      </c>
      <c r="AD70" s="10" t="s">
        <v>114</v>
      </c>
      <c r="AE70" s="10">
        <v>3.3474220220742663</v>
      </c>
      <c r="AF70" s="10">
        <v>7.1854181953428685E-3</v>
      </c>
      <c r="AG70" s="11">
        <v>62.4158331336413</v>
      </c>
      <c r="AH70" s="11">
        <v>1.1503332195179261</v>
      </c>
      <c r="AI70" s="11">
        <v>2.6313937134534262</v>
      </c>
      <c r="AJ70" s="11">
        <v>0.21688492262672046</v>
      </c>
      <c r="AK70" s="11">
        <v>0.93452651524421326</v>
      </c>
      <c r="AL70" s="11">
        <v>0.2050393957884146</v>
      </c>
      <c r="AM70" s="11">
        <v>5.5815902786826833E-2</v>
      </c>
      <c r="AN70" s="11">
        <v>0.23789716366300573</v>
      </c>
      <c r="AO70" s="11">
        <v>3.9322155019743135E-2</v>
      </c>
      <c r="AP70" s="11">
        <v>0.28541595411735665</v>
      </c>
      <c r="AQ70" s="11">
        <v>6.9031729013367932E-2</v>
      </c>
      <c r="AR70" s="11">
        <v>0.21936350848925662</v>
      </c>
      <c r="AS70" s="11">
        <v>3.1778313107622032E-2</v>
      </c>
      <c r="AT70" s="11">
        <v>0.22686087725435553</v>
      </c>
      <c r="AU70" s="11">
        <v>3.540083021882362E-2</v>
      </c>
      <c r="AV70" s="10" t="s">
        <v>114</v>
      </c>
      <c r="AW70" s="10" t="s">
        <v>114</v>
      </c>
      <c r="AX70" s="10" t="s">
        <v>114</v>
      </c>
      <c r="AY70" s="10">
        <v>4.1452385097538971E-2</v>
      </c>
      <c r="AZ70" s="10">
        <v>9.0880806013140099</v>
      </c>
      <c r="BA70" s="10">
        <v>8.2398654784914029</v>
      </c>
      <c r="BB70" s="11">
        <v>8.5025669835247939</v>
      </c>
      <c r="BC70" s="11" t="s">
        <v>114</v>
      </c>
      <c r="BD70" s="11">
        <v>47.622031602479858</v>
      </c>
    </row>
    <row r="71" spans="1:56" x14ac:dyDescent="0.3">
      <c r="A71" t="s">
        <v>182</v>
      </c>
      <c r="B71" t="s">
        <v>62</v>
      </c>
      <c r="C71" s="10">
        <v>4100.3095115185361</v>
      </c>
      <c r="D71" s="11">
        <v>2112.5147383221597</v>
      </c>
      <c r="E71" s="10">
        <v>231.26278060467251</v>
      </c>
      <c r="F71" s="10">
        <v>138530.96164521074</v>
      </c>
      <c r="G71" s="10" t="s">
        <v>114</v>
      </c>
      <c r="H71" s="10">
        <v>346714.16614822904</v>
      </c>
      <c r="I71" s="11">
        <v>343734.9838732541</v>
      </c>
      <c r="J71" s="10">
        <v>8.6468527963142705</v>
      </c>
      <c r="K71" s="11">
        <v>74.2841923411209</v>
      </c>
      <c r="L71" s="11">
        <v>14.963558015885209</v>
      </c>
      <c r="M71" s="11">
        <v>240.07194213560439</v>
      </c>
      <c r="N71" s="11">
        <v>12013.153691510752</v>
      </c>
      <c r="O71" s="10">
        <v>11596.836807349689</v>
      </c>
      <c r="P71" s="10">
        <v>2.2920783001954721</v>
      </c>
      <c r="Q71" s="11">
        <v>15.834166679114253</v>
      </c>
      <c r="R71" s="11">
        <v>19.59609577177671</v>
      </c>
      <c r="S71" s="10">
        <v>19.804302646273051</v>
      </c>
      <c r="T71" s="11">
        <v>108.50231959193944</v>
      </c>
      <c r="U71" s="10">
        <v>108.20884812861932</v>
      </c>
      <c r="V71" s="10">
        <v>68.519458385435797</v>
      </c>
      <c r="W71" s="10" t="s">
        <v>114</v>
      </c>
      <c r="X71" s="10" t="s">
        <v>114</v>
      </c>
      <c r="Y71" s="11">
        <v>1352.0733872193762</v>
      </c>
      <c r="Z71" s="10">
        <v>3.7044713994391323</v>
      </c>
      <c r="AA71" s="10" t="s">
        <v>114</v>
      </c>
      <c r="AB71" s="10" t="s">
        <v>114</v>
      </c>
      <c r="AC71" s="10">
        <v>5.7095054986623359E-2</v>
      </c>
      <c r="AD71" s="10" t="s">
        <v>114</v>
      </c>
      <c r="AE71" s="10">
        <v>2.5196009148481595</v>
      </c>
      <c r="AF71" s="10">
        <v>2.8102847606745096E-3</v>
      </c>
      <c r="AG71" s="11">
        <v>65.538748438592776</v>
      </c>
      <c r="AH71" s="11">
        <v>0.39036536175308789</v>
      </c>
      <c r="AI71" s="11">
        <v>0.86189044300610296</v>
      </c>
      <c r="AJ71" s="11">
        <v>7.5898968848047046E-2</v>
      </c>
      <c r="AK71" s="11">
        <v>0.31439355659354851</v>
      </c>
      <c r="AL71" s="11">
        <v>7.1283938045231435E-2</v>
      </c>
      <c r="AM71" s="11">
        <v>2.5910316846555061E-2</v>
      </c>
      <c r="AN71" s="11">
        <v>9.4795092007933221E-2</v>
      </c>
      <c r="AO71" s="11">
        <v>1.2680718140738586E-2</v>
      </c>
      <c r="AP71" s="11">
        <v>0.10408138861901942</v>
      </c>
      <c r="AQ71" s="11">
        <v>2.7572275924275629E-2</v>
      </c>
      <c r="AR71" s="11">
        <v>9.2387935822515505E-2</v>
      </c>
      <c r="AS71" s="11">
        <v>1.3493023421901805E-2</v>
      </c>
      <c r="AT71" s="11">
        <v>9.3615829805904396E-2</v>
      </c>
      <c r="AU71" s="11">
        <v>1.7674220248028821E-2</v>
      </c>
      <c r="AV71" s="10" t="s">
        <v>114</v>
      </c>
      <c r="AW71" s="10" t="s">
        <v>114</v>
      </c>
      <c r="AX71" s="10" t="s">
        <v>114</v>
      </c>
      <c r="AY71" s="10">
        <v>2.7088398725866682E-2</v>
      </c>
      <c r="AZ71" s="10">
        <v>9.8187189467344602</v>
      </c>
      <c r="BA71" s="10">
        <v>8.7919815877997376</v>
      </c>
      <c r="BB71" s="11">
        <v>9.1901653498746754</v>
      </c>
      <c r="BC71" s="11" t="s">
        <v>114</v>
      </c>
      <c r="BD71" s="11">
        <v>31.559888913786097</v>
      </c>
    </row>
    <row r="72" spans="1:56" x14ac:dyDescent="0.3">
      <c r="A72" t="s">
        <v>183</v>
      </c>
      <c r="B72" t="s">
        <v>62</v>
      </c>
      <c r="C72" s="10">
        <v>4078.9368824150697</v>
      </c>
      <c r="D72" s="11">
        <v>3483.4233999176199</v>
      </c>
      <c r="E72" s="10">
        <v>196.21216510174474</v>
      </c>
      <c r="F72" s="10">
        <v>151930.27808949843</v>
      </c>
      <c r="G72" s="10" t="s">
        <v>114</v>
      </c>
      <c r="H72" s="10">
        <v>387735.40002108912</v>
      </c>
      <c r="I72" s="11">
        <v>381892.77450484899</v>
      </c>
      <c r="J72" s="10">
        <v>8.6522836033161834</v>
      </c>
      <c r="K72" s="11">
        <v>23.765848892252087</v>
      </c>
      <c r="L72" s="11">
        <v>6.7227452457652639</v>
      </c>
      <c r="M72" s="11">
        <v>189.58821290924641</v>
      </c>
      <c r="N72" s="11">
        <v>3810.6025607422316</v>
      </c>
      <c r="O72" s="10">
        <v>3829.5031337721475</v>
      </c>
      <c r="P72" s="10">
        <v>0.8062595928144427</v>
      </c>
      <c r="Q72" s="11">
        <v>9.8584230904510015</v>
      </c>
      <c r="R72" s="11">
        <v>16.145627358637384</v>
      </c>
      <c r="S72" s="10">
        <v>16.724800566251851</v>
      </c>
      <c r="T72" s="11">
        <v>122.68784444446359</v>
      </c>
      <c r="U72" s="10">
        <v>121.99284926702583</v>
      </c>
      <c r="V72" s="10">
        <v>34.847458256405965</v>
      </c>
      <c r="W72" s="10" t="s">
        <v>114</v>
      </c>
      <c r="X72" s="10">
        <v>0.18580761533611528</v>
      </c>
      <c r="Y72" s="11">
        <v>1232.6596844204096</v>
      </c>
      <c r="Z72" s="10">
        <v>2.4336903180167293</v>
      </c>
      <c r="AA72" s="10" t="s">
        <v>114</v>
      </c>
      <c r="AB72" s="10" t="s">
        <v>114</v>
      </c>
      <c r="AC72" s="10">
        <v>0.51656879867049232</v>
      </c>
      <c r="AD72" s="10" t="s">
        <v>114</v>
      </c>
      <c r="AE72" s="10">
        <v>2.8226777217240437</v>
      </c>
      <c r="AF72" s="10">
        <v>6.7794266542121001E-3</v>
      </c>
      <c r="AG72" s="11">
        <v>71.742528442972173</v>
      </c>
      <c r="AH72" s="11">
        <v>0.45429105351091914</v>
      </c>
      <c r="AI72" s="11">
        <v>0.92736835919412086</v>
      </c>
      <c r="AJ72" s="11">
        <v>7.691233536887597E-2</v>
      </c>
      <c r="AK72" s="11">
        <v>0.35445453144946421</v>
      </c>
      <c r="AL72" s="11">
        <v>6.778104636025381E-2</v>
      </c>
      <c r="AM72" s="11">
        <v>1.7625068806159126E-2</v>
      </c>
      <c r="AN72" s="11">
        <v>9.2096113590294834E-2</v>
      </c>
      <c r="AO72" s="11">
        <v>1.6851425350976276E-2</v>
      </c>
      <c r="AP72" s="11">
        <v>0.1176673165086068</v>
      </c>
      <c r="AQ72" s="11">
        <v>2.7325543432861036E-2</v>
      </c>
      <c r="AR72" s="11">
        <v>9.9115856699284091E-2</v>
      </c>
      <c r="AS72" s="11">
        <v>1.4035067795291758E-2</v>
      </c>
      <c r="AT72" s="11">
        <v>0.11067137247372802</v>
      </c>
      <c r="AU72" s="11">
        <v>1.5672522906670271E-2</v>
      </c>
      <c r="AV72" s="10" t="s">
        <v>114</v>
      </c>
      <c r="AW72" s="10" t="s">
        <v>114</v>
      </c>
      <c r="AX72" s="10" t="s">
        <v>114</v>
      </c>
      <c r="AY72" s="10">
        <v>1.4959801109096801E-2</v>
      </c>
      <c r="AZ72" s="10">
        <v>9.7143764854775672</v>
      </c>
      <c r="BA72" s="10">
        <v>8.7213162724817863</v>
      </c>
      <c r="BB72" s="11">
        <v>9.0541205858762179</v>
      </c>
      <c r="BC72" s="11" t="s">
        <v>114</v>
      </c>
      <c r="BD72" s="11">
        <v>33.667368226951922</v>
      </c>
    </row>
    <row r="73" spans="1:56" x14ac:dyDescent="0.3">
      <c r="A73" t="s">
        <v>184</v>
      </c>
      <c r="B73" t="s">
        <v>62</v>
      </c>
      <c r="C73" s="10">
        <v>7385.066295583616</v>
      </c>
      <c r="D73" s="11">
        <v>3667.0867748889441</v>
      </c>
      <c r="E73" s="10">
        <v>80.111564388780792</v>
      </c>
      <c r="F73" s="10">
        <v>159520.34126109202</v>
      </c>
      <c r="G73" s="10">
        <v>113.0655258170802</v>
      </c>
      <c r="H73" s="10">
        <v>403070.78158302326</v>
      </c>
      <c r="I73" s="11">
        <v>403537.66664685914</v>
      </c>
      <c r="J73" s="10">
        <v>5.6859785142151331</v>
      </c>
      <c r="K73" s="11">
        <v>14.577080763938271</v>
      </c>
      <c r="L73" s="11">
        <v>17.083467425471881</v>
      </c>
      <c r="M73" s="11">
        <v>259.44035580337942</v>
      </c>
      <c r="N73" s="11">
        <v>1876.9715181676249</v>
      </c>
      <c r="O73" s="10">
        <v>1898.9099838208392</v>
      </c>
      <c r="P73" s="10">
        <v>1.5682975048437824</v>
      </c>
      <c r="Q73" s="11">
        <v>9.95724108065248</v>
      </c>
      <c r="R73" s="11">
        <v>16.592217399732618</v>
      </c>
      <c r="S73" s="10">
        <v>16.189651493236152</v>
      </c>
      <c r="T73" s="11">
        <v>113.85960904523346</v>
      </c>
      <c r="U73" s="10">
        <v>120.3639179756218</v>
      </c>
      <c r="V73" s="10">
        <v>22.098024868396628</v>
      </c>
      <c r="W73" s="10" t="s">
        <v>114</v>
      </c>
      <c r="X73" s="10">
        <v>0.12796688343955387</v>
      </c>
      <c r="Y73" s="11">
        <v>2898.2004329231013</v>
      </c>
      <c r="Z73" s="10">
        <v>11.622770527954657</v>
      </c>
      <c r="AA73" s="10" t="s">
        <v>114</v>
      </c>
      <c r="AB73" s="10" t="s">
        <v>114</v>
      </c>
      <c r="AC73" s="10">
        <v>0.2030320342130201</v>
      </c>
      <c r="AD73" s="10" t="s">
        <v>114</v>
      </c>
      <c r="AE73" s="10">
        <v>1.3853143404367947</v>
      </c>
      <c r="AF73" s="10">
        <v>6.9821558140321996E-3</v>
      </c>
      <c r="AG73" s="11">
        <v>177.33233181434153</v>
      </c>
      <c r="AH73" s="11">
        <v>0.62673877794341648</v>
      </c>
      <c r="AI73" s="11">
        <v>1.4693882636468281</v>
      </c>
      <c r="AJ73" s="11">
        <v>0.10449762846459705</v>
      </c>
      <c r="AK73" s="11">
        <v>0.47129582910422496</v>
      </c>
      <c r="AL73" s="11">
        <v>9.8972855953186598E-2</v>
      </c>
      <c r="AM73" s="11">
        <v>3.3208532050472542E-2</v>
      </c>
      <c r="AN73" s="11">
        <v>0.13345441890386245</v>
      </c>
      <c r="AO73" s="11">
        <v>2.3437745790470393E-2</v>
      </c>
      <c r="AP73" s="11">
        <v>0.18624046286151558</v>
      </c>
      <c r="AQ73" s="11">
        <v>4.4968184691881935E-2</v>
      </c>
      <c r="AR73" s="11">
        <v>0.15497616026371897</v>
      </c>
      <c r="AS73" s="11">
        <v>2.3721093007556721E-2</v>
      </c>
      <c r="AT73" s="11">
        <v>0.18273373045078362</v>
      </c>
      <c r="AU73" s="11">
        <v>3.4364726031279262E-2</v>
      </c>
      <c r="AV73" s="10">
        <v>0.16268619268883922</v>
      </c>
      <c r="AW73" s="10" t="s">
        <v>114</v>
      </c>
      <c r="AX73" s="10" t="s">
        <v>114</v>
      </c>
      <c r="AY73" s="10">
        <v>1.5612394294927523E-2</v>
      </c>
      <c r="AZ73" s="10">
        <v>43.843741079639948</v>
      </c>
      <c r="BA73" s="10">
        <v>39.32678073945263</v>
      </c>
      <c r="BB73" s="11">
        <v>40.800513175963509</v>
      </c>
      <c r="BC73" s="11" t="s">
        <v>114</v>
      </c>
      <c r="BD73" s="11">
        <v>55.927371325217742</v>
      </c>
    </row>
    <row r="74" spans="1:56" x14ac:dyDescent="0.3">
      <c r="A74" t="s">
        <v>185</v>
      </c>
      <c r="B74" t="s">
        <v>62</v>
      </c>
      <c r="C74" s="10">
        <v>4589.9612877513991</v>
      </c>
      <c r="D74" s="11">
        <v>1958.8625369178308</v>
      </c>
      <c r="E74" s="10">
        <v>103.8834169008199</v>
      </c>
      <c r="F74" s="10">
        <v>159510.48217068065</v>
      </c>
      <c r="G74" s="10">
        <v>99.685747619716423</v>
      </c>
      <c r="H74" s="10">
        <v>394081.09413636912</v>
      </c>
      <c r="I74" s="11">
        <v>388974.84531368484</v>
      </c>
      <c r="J74" s="10">
        <v>5.3756470367294433</v>
      </c>
      <c r="K74" s="11">
        <v>22.302324887212048</v>
      </c>
      <c r="L74" s="11">
        <v>8.4495232469328094</v>
      </c>
      <c r="M74" s="11">
        <v>247.68458149474222</v>
      </c>
      <c r="N74" s="11">
        <v>2885.4159798986566</v>
      </c>
      <c r="O74" s="10">
        <v>2895.3909692866318</v>
      </c>
      <c r="P74" s="10">
        <v>0.81304325734328553</v>
      </c>
      <c r="Q74" s="11">
        <v>10.294723336538199</v>
      </c>
      <c r="R74" s="11">
        <v>43.812153500466643</v>
      </c>
      <c r="S74" s="10">
        <v>43.367238719009201</v>
      </c>
      <c r="T74" s="11">
        <v>90.750663443213</v>
      </c>
      <c r="U74" s="10">
        <v>93.335956962065751</v>
      </c>
      <c r="V74" s="10">
        <v>74.939440759807056</v>
      </c>
      <c r="W74" s="10">
        <v>14.140276143581881</v>
      </c>
      <c r="X74" s="10" t="s">
        <v>114</v>
      </c>
      <c r="Y74" s="11">
        <v>1483.3206184647886</v>
      </c>
      <c r="Z74" s="10">
        <v>5.4650101083975926</v>
      </c>
      <c r="AA74" s="10">
        <v>0.60867099326217489</v>
      </c>
      <c r="AB74" s="10">
        <v>0.54167518642471624</v>
      </c>
      <c r="AC74" s="10">
        <v>0.12816792344551789</v>
      </c>
      <c r="AD74" s="10" t="s">
        <v>114</v>
      </c>
      <c r="AE74" s="10">
        <v>2.6921045004835249</v>
      </c>
      <c r="AF74" s="10">
        <v>5.7116405502963992E-3</v>
      </c>
      <c r="AG74" s="11">
        <v>102.59635241405635</v>
      </c>
      <c r="AH74" s="11">
        <v>0.6820571777945118</v>
      </c>
      <c r="AI74" s="11">
        <v>1.2931978845756329</v>
      </c>
      <c r="AJ74" s="11">
        <v>0.10226620519635679</v>
      </c>
      <c r="AK74" s="11">
        <v>0.48176082926708197</v>
      </c>
      <c r="AL74" s="11">
        <v>0.10022209287800879</v>
      </c>
      <c r="AM74" s="11">
        <v>2.7197137474760949E-2</v>
      </c>
      <c r="AN74" s="11">
        <v>0.1335497774161811</v>
      </c>
      <c r="AO74" s="11">
        <v>2.0123844389058218E-2</v>
      </c>
      <c r="AP74" s="11">
        <v>0.1603188367035786</v>
      </c>
      <c r="AQ74" s="11">
        <v>4.088513566662004E-2</v>
      </c>
      <c r="AR74" s="11">
        <v>0.11915473789170279</v>
      </c>
      <c r="AS74" s="11">
        <v>2.2230115518447995E-2</v>
      </c>
      <c r="AT74" s="11">
        <v>0.14291276376456105</v>
      </c>
      <c r="AU74" s="11">
        <v>2.5242520793195236E-2</v>
      </c>
      <c r="AV74" s="10" t="s">
        <v>114</v>
      </c>
      <c r="AW74" s="10" t="s">
        <v>114</v>
      </c>
      <c r="AX74" s="10" t="s">
        <v>114</v>
      </c>
      <c r="AY74" s="10">
        <v>3.9177737951198131E-2</v>
      </c>
      <c r="AZ74" s="10">
        <v>13.30793502339734</v>
      </c>
      <c r="BA74" s="10">
        <v>12.067688890728171</v>
      </c>
      <c r="BB74" s="11">
        <v>12.459521250059797</v>
      </c>
      <c r="BC74" s="11" t="s">
        <v>114</v>
      </c>
      <c r="BD74" s="11">
        <v>54.86126461068946</v>
      </c>
    </row>
    <row r="75" spans="1:56" x14ac:dyDescent="0.3">
      <c r="A75" t="s">
        <v>186</v>
      </c>
      <c r="B75" t="s">
        <v>62</v>
      </c>
      <c r="C75" s="10">
        <v>5969.3435164528319</v>
      </c>
      <c r="D75" s="11">
        <v>4269.9729379199534</v>
      </c>
      <c r="E75" s="10">
        <v>75.862921357365593</v>
      </c>
      <c r="F75" s="10">
        <v>148740.1922502387</v>
      </c>
      <c r="G75" s="10">
        <v>96.965876866232009</v>
      </c>
      <c r="H75" s="10">
        <v>382531.84663310798</v>
      </c>
      <c r="I75" s="11">
        <v>386778.12994627329</v>
      </c>
      <c r="J75" s="10">
        <v>9.3366924058969829</v>
      </c>
      <c r="K75" s="11">
        <v>20.022134557226089</v>
      </c>
      <c r="L75" s="11">
        <v>55.268736236941052</v>
      </c>
      <c r="M75" s="11">
        <v>700.74321908622085</v>
      </c>
      <c r="N75" s="11">
        <v>475.19869701325257</v>
      </c>
      <c r="O75" s="10">
        <v>489.31278049241723</v>
      </c>
      <c r="P75" s="10">
        <v>0.99541728124942874</v>
      </c>
      <c r="Q75" s="11">
        <v>8.0023781804451914</v>
      </c>
      <c r="R75" s="11">
        <v>19.2019755838244</v>
      </c>
      <c r="S75" s="10">
        <v>19.145618031624714</v>
      </c>
      <c r="T75" s="11">
        <v>106.5831564397668</v>
      </c>
      <c r="U75" s="10">
        <v>113.78237283252402</v>
      </c>
      <c r="V75" s="10">
        <v>9.7811045085625103</v>
      </c>
      <c r="W75" s="10" t="s">
        <v>114</v>
      </c>
      <c r="X75" s="10">
        <v>0.20462772819865377</v>
      </c>
      <c r="Y75" s="11">
        <v>2926.9946088204829</v>
      </c>
      <c r="Z75" s="10">
        <v>8.6789378179394436</v>
      </c>
      <c r="AA75" s="10" t="s">
        <v>114</v>
      </c>
      <c r="AB75" s="10" t="s">
        <v>114</v>
      </c>
      <c r="AC75" s="10">
        <v>0.18399929741621529</v>
      </c>
      <c r="AD75" s="10" t="s">
        <v>114</v>
      </c>
      <c r="AE75" s="10">
        <v>0.88326941876048504</v>
      </c>
      <c r="AF75" s="10">
        <v>4.2299097240791608E-3</v>
      </c>
      <c r="AG75" s="11">
        <v>240.16993854659998</v>
      </c>
      <c r="AH75" s="11">
        <v>0.15208896198258803</v>
      </c>
      <c r="AI75" s="11">
        <v>0.31610769667008154</v>
      </c>
      <c r="AJ75" s="11">
        <v>2.2533904137297101E-2</v>
      </c>
      <c r="AK75" s="11">
        <v>0.11332071967660576</v>
      </c>
      <c r="AL75" s="11">
        <v>1.8906244574989434E-2</v>
      </c>
      <c r="AM75" s="11">
        <v>1.4725803290757305E-2</v>
      </c>
      <c r="AN75" s="11">
        <v>2.4690673625470672E-2</v>
      </c>
      <c r="AO75" s="11">
        <v>5.2596652898898918E-3</v>
      </c>
      <c r="AP75" s="11">
        <v>1.6912147235566902E-2</v>
      </c>
      <c r="AQ75" s="11">
        <v>6.587932980133329E-3</v>
      </c>
      <c r="AR75" s="11">
        <v>2.431435591313498E-2</v>
      </c>
      <c r="AS75" s="11">
        <v>3.0078953378427603E-3</v>
      </c>
      <c r="AT75" s="11">
        <v>2.4271506598829179E-2</v>
      </c>
      <c r="AU75" s="11">
        <v>5.7329899094081642E-3</v>
      </c>
      <c r="AV75" s="10">
        <v>0.167463247375467</v>
      </c>
      <c r="AW75" s="10" t="s">
        <v>114</v>
      </c>
      <c r="AX75" s="10" t="s">
        <v>114</v>
      </c>
      <c r="AY75" s="10">
        <v>1.3425829920967598E-2</v>
      </c>
      <c r="AZ75" s="10">
        <v>28.001502095581269</v>
      </c>
      <c r="BA75" s="10">
        <v>25.03892474506965</v>
      </c>
      <c r="BB75" s="11">
        <v>26.058025544863</v>
      </c>
      <c r="BC75" s="11" t="s">
        <v>114</v>
      </c>
      <c r="BD75" s="11">
        <v>21.594149935491536</v>
      </c>
    </row>
    <row r="76" spans="1:56" x14ac:dyDescent="0.3">
      <c r="A76" t="s">
        <v>187</v>
      </c>
      <c r="B76" t="s">
        <v>62</v>
      </c>
      <c r="C76" s="10">
        <v>4221.6976377107521</v>
      </c>
      <c r="D76" s="11">
        <v>1758.0764088069334</v>
      </c>
      <c r="E76" s="10">
        <v>60.600936006159237</v>
      </c>
      <c r="F76" s="10">
        <v>157741.24112106918</v>
      </c>
      <c r="G76" s="10" t="s">
        <v>114</v>
      </c>
      <c r="H76" s="10">
        <v>375682.01254930673</v>
      </c>
      <c r="I76" s="11">
        <v>372316.47281706595</v>
      </c>
      <c r="J76" s="10">
        <v>5.7480517822117969</v>
      </c>
      <c r="K76" s="11">
        <v>14.469324175656723</v>
      </c>
      <c r="L76" s="11">
        <v>14.639473524531482</v>
      </c>
      <c r="M76" s="11">
        <v>259.37631174561272</v>
      </c>
      <c r="N76" s="11">
        <v>260.87810962212654</v>
      </c>
      <c r="O76" s="10">
        <v>275.63819354992643</v>
      </c>
      <c r="P76" s="10">
        <v>0.30505783667635361</v>
      </c>
      <c r="Q76" s="11">
        <v>4.3129692443448535</v>
      </c>
      <c r="R76" s="11">
        <v>19.318900421968213</v>
      </c>
      <c r="S76" s="10">
        <v>19.050785204337302</v>
      </c>
      <c r="T76" s="11">
        <v>139.42066707785591</v>
      </c>
      <c r="U76" s="10">
        <v>141.97294504422317</v>
      </c>
      <c r="V76" s="10">
        <v>5.8238480123313616</v>
      </c>
      <c r="W76" s="10" t="s">
        <v>114</v>
      </c>
      <c r="X76" s="10">
        <v>0.12901375921557909</v>
      </c>
      <c r="Y76" s="11">
        <v>1693.1076921730089</v>
      </c>
      <c r="Z76" s="10">
        <v>8.2864963656817263</v>
      </c>
      <c r="AA76" s="10">
        <v>0.57710299843058033</v>
      </c>
      <c r="AB76" s="10">
        <v>0.58521801718833932</v>
      </c>
      <c r="AC76" s="10">
        <v>0.62357527913315258</v>
      </c>
      <c r="AD76" s="10" t="s">
        <v>114</v>
      </c>
      <c r="AE76" s="10">
        <v>0.67797719950963919</v>
      </c>
      <c r="AF76" s="10">
        <v>3.9765509383475105E-3</v>
      </c>
      <c r="AG76" s="11">
        <v>151.96103749822296</v>
      </c>
      <c r="AH76" s="11">
        <v>1.2269887674733284</v>
      </c>
      <c r="AI76" s="11">
        <v>2.2753901812671038</v>
      </c>
      <c r="AJ76" s="11">
        <v>0.14021108097717522</v>
      </c>
      <c r="AK76" s="11">
        <v>0.56933926461043338</v>
      </c>
      <c r="AL76" s="11">
        <v>0.13181297916120652</v>
      </c>
      <c r="AM76" s="11">
        <v>3.458847049460366E-2</v>
      </c>
      <c r="AN76" s="11">
        <v>0.18429860937833373</v>
      </c>
      <c r="AO76" s="11">
        <v>3.4047291871007551E-2</v>
      </c>
      <c r="AP76" s="11">
        <v>0.26864168255910142</v>
      </c>
      <c r="AQ76" s="11">
        <v>7.0420869429089664E-2</v>
      </c>
      <c r="AR76" s="11">
        <v>0.25250754529653963</v>
      </c>
      <c r="AS76" s="11">
        <v>4.2344204137419385E-2</v>
      </c>
      <c r="AT76" s="11">
        <v>0.32412694231550915</v>
      </c>
      <c r="AU76" s="11">
        <v>5.1968215987712965E-2</v>
      </c>
      <c r="AV76" s="10">
        <v>9.530446065318543E-2</v>
      </c>
      <c r="AW76" s="10" t="s">
        <v>114</v>
      </c>
      <c r="AX76" s="10" t="s">
        <v>114</v>
      </c>
      <c r="AY76" s="10">
        <v>7.9390864230687364E-2</v>
      </c>
      <c r="AZ76" s="10">
        <v>58.792910193643934</v>
      </c>
      <c r="BA76" s="10">
        <v>53.015887302145245</v>
      </c>
      <c r="BB76" s="11">
        <v>54.95447724085539</v>
      </c>
      <c r="BC76" s="11" t="s">
        <v>114</v>
      </c>
      <c r="BD76" s="11">
        <v>25.0640222300331</v>
      </c>
    </row>
    <row r="77" spans="1:56" x14ac:dyDescent="0.3">
      <c r="A77" t="s">
        <v>188</v>
      </c>
      <c r="B77" t="s">
        <v>62</v>
      </c>
      <c r="C77" s="10">
        <v>5921.2954124556572</v>
      </c>
      <c r="D77" s="11">
        <v>2882.6793614475473</v>
      </c>
      <c r="E77" s="10">
        <v>240.33030672961931</v>
      </c>
      <c r="F77" s="10">
        <v>137622.53356411139</v>
      </c>
      <c r="G77" s="10">
        <v>148.99536391734205</v>
      </c>
      <c r="H77" s="10">
        <v>350017.89067041973</v>
      </c>
      <c r="I77" s="11">
        <v>349603.07012679864</v>
      </c>
      <c r="J77" s="10">
        <v>20.290328132279875</v>
      </c>
      <c r="K77" s="11">
        <v>44.8325554306928</v>
      </c>
      <c r="L77" s="11">
        <v>94.332216491140585</v>
      </c>
      <c r="M77" s="11">
        <v>327.13491009570549</v>
      </c>
      <c r="N77" s="11">
        <v>10272.603096285708</v>
      </c>
      <c r="O77" s="10">
        <v>9889.4424255448084</v>
      </c>
      <c r="P77" s="10">
        <v>1.964221621301474</v>
      </c>
      <c r="Q77" s="11">
        <v>13.902252023097109</v>
      </c>
      <c r="R77" s="11">
        <v>28.476624129493256</v>
      </c>
      <c r="S77" s="10">
        <v>28.373301534949597</v>
      </c>
      <c r="T77" s="11">
        <v>134.9929755908625</v>
      </c>
      <c r="U77" s="10">
        <v>137.54512440707796</v>
      </c>
      <c r="V77" s="10">
        <v>55.349758839029583</v>
      </c>
      <c r="W77" s="10" t="s">
        <v>114</v>
      </c>
      <c r="X77" s="10">
        <v>0.22396401085154077</v>
      </c>
      <c r="Y77" s="11">
        <v>1968.5956454098964</v>
      </c>
      <c r="Z77" s="10">
        <v>9.6329368828155406</v>
      </c>
      <c r="AA77" s="10">
        <v>0.95623262550086141</v>
      </c>
      <c r="AB77" s="10">
        <v>1.0394591262108255</v>
      </c>
      <c r="AC77" s="10">
        <v>0.6872664853502507</v>
      </c>
      <c r="AD77" s="10" t="s">
        <v>114</v>
      </c>
      <c r="AE77" s="10">
        <v>1.7394324476634959</v>
      </c>
      <c r="AF77" s="10">
        <v>5.11042755063096E-3</v>
      </c>
      <c r="AG77" s="11">
        <v>174.42014270379516</v>
      </c>
      <c r="AH77" s="11">
        <v>2.0804712089978308</v>
      </c>
      <c r="AI77" s="11">
        <v>4.4301813654881865</v>
      </c>
      <c r="AJ77" s="11">
        <v>0.33062507616639719</v>
      </c>
      <c r="AK77" s="11">
        <v>1.4894118877606728</v>
      </c>
      <c r="AL77" s="11">
        <v>0.29246015045818663</v>
      </c>
      <c r="AM77" s="11">
        <v>8.1210913226069478E-2</v>
      </c>
      <c r="AN77" s="11">
        <v>0.44867055018905033</v>
      </c>
      <c r="AO77" s="11">
        <v>7.0318525913222518E-2</v>
      </c>
      <c r="AP77" s="11">
        <v>0.56880135761017936</v>
      </c>
      <c r="AQ77" s="11">
        <v>0.14178393966933203</v>
      </c>
      <c r="AR77" s="11">
        <v>0.4582954761271546</v>
      </c>
      <c r="AS77" s="11">
        <v>7.2902003152810146E-2</v>
      </c>
      <c r="AT77" s="11">
        <v>0.52555943396843641</v>
      </c>
      <c r="AU77" s="11">
        <v>9.0705923577790434E-2</v>
      </c>
      <c r="AV77" s="10">
        <v>8.2932040696819961E-2</v>
      </c>
      <c r="AW77" s="10" t="s">
        <v>114</v>
      </c>
      <c r="AX77" s="10" t="s">
        <v>114</v>
      </c>
      <c r="AY77" s="10">
        <v>1.2102556889615501E-2</v>
      </c>
      <c r="AZ77" s="10">
        <v>51.031358005042591</v>
      </c>
      <c r="BA77" s="10">
        <v>46.362068231687871</v>
      </c>
      <c r="BB77" s="11">
        <v>47.966091823454981</v>
      </c>
      <c r="BC77" s="11" t="s">
        <v>114</v>
      </c>
      <c r="BD77" s="11">
        <v>27.18596267360428</v>
      </c>
    </row>
    <row r="78" spans="1:56" x14ac:dyDescent="0.3">
      <c r="A78" t="s">
        <v>189</v>
      </c>
      <c r="B78" t="s">
        <v>62</v>
      </c>
      <c r="C78" s="10">
        <v>5688.031284962949</v>
      </c>
      <c r="D78" s="11">
        <v>3049.0651243683401</v>
      </c>
      <c r="E78" s="10">
        <v>97.920650119975818</v>
      </c>
      <c r="F78" s="10">
        <v>151767.90738055058</v>
      </c>
      <c r="G78" s="10">
        <v>209.42555352920388</v>
      </c>
      <c r="H78" s="10">
        <v>384679.15455415047</v>
      </c>
      <c r="I78" s="11">
        <v>385279.41848282458</v>
      </c>
      <c r="J78" s="10">
        <v>11.814987816800725</v>
      </c>
      <c r="K78" s="11">
        <v>11.372042474425795</v>
      </c>
      <c r="L78" s="11">
        <v>78.12459253820964</v>
      </c>
      <c r="M78" s="11">
        <v>1177.5724062845707</v>
      </c>
      <c r="N78" s="11">
        <v>1137.414750907757</v>
      </c>
      <c r="O78" s="10">
        <v>1156.5384934030774</v>
      </c>
      <c r="P78" s="10">
        <v>0.42601752863059522</v>
      </c>
      <c r="Q78" s="11">
        <v>9.329222632150282</v>
      </c>
      <c r="R78" s="11">
        <v>22.600427855190357</v>
      </c>
      <c r="S78" s="10">
        <v>23.038721337477199</v>
      </c>
      <c r="T78" s="11">
        <v>117.54033220028455</v>
      </c>
      <c r="U78" s="10">
        <v>124.75735284557284</v>
      </c>
      <c r="V78" s="10">
        <v>12.136149612731781</v>
      </c>
      <c r="W78" s="10" t="s">
        <v>114</v>
      </c>
      <c r="X78" s="10">
        <v>0.4646674141837947</v>
      </c>
      <c r="Y78" s="11">
        <v>2298.6178787181598</v>
      </c>
      <c r="Z78" s="10">
        <v>16.047945988112907</v>
      </c>
      <c r="AA78" s="10">
        <v>1.2424261642321042</v>
      </c>
      <c r="AB78" s="10">
        <v>1.155725109873923</v>
      </c>
      <c r="AC78" s="10">
        <v>0.30174073658617429</v>
      </c>
      <c r="AD78" s="10" t="s">
        <v>114</v>
      </c>
      <c r="AE78" s="10">
        <v>1.1562965787627038</v>
      </c>
      <c r="AF78" s="10">
        <v>5.719626902931616E-3</v>
      </c>
      <c r="AG78" s="11">
        <v>216.93426815035534</v>
      </c>
      <c r="AH78" s="11">
        <v>1.7801689004558361</v>
      </c>
      <c r="AI78" s="11">
        <v>2.547593428145587</v>
      </c>
      <c r="AJ78" s="11">
        <v>0.21683835549865635</v>
      </c>
      <c r="AK78" s="11">
        <v>0.96816389986132767</v>
      </c>
      <c r="AL78" s="11">
        <v>0.20312180516057518</v>
      </c>
      <c r="AM78" s="11">
        <v>6.5680454572621227E-2</v>
      </c>
      <c r="AN78" s="11">
        <v>0.31112476382875803</v>
      </c>
      <c r="AO78" s="11">
        <v>5.0236798520490726E-2</v>
      </c>
      <c r="AP78" s="11">
        <v>0.39568399849200375</v>
      </c>
      <c r="AQ78" s="11">
        <v>0.10384959230713735</v>
      </c>
      <c r="AR78" s="11">
        <v>0.38613319431299575</v>
      </c>
      <c r="AS78" s="11">
        <v>5.910510585260792E-2</v>
      </c>
      <c r="AT78" s="11">
        <v>0.44627029308368721</v>
      </c>
      <c r="AU78" s="11">
        <v>8.1217231722699512E-2</v>
      </c>
      <c r="AV78" s="10">
        <v>0.1608988823897132</v>
      </c>
      <c r="AW78" s="10" t="s">
        <v>114</v>
      </c>
      <c r="AX78" s="10" t="s">
        <v>114</v>
      </c>
      <c r="AY78" s="10">
        <v>8.9323294303794605E-3</v>
      </c>
      <c r="AZ78" s="10">
        <v>14.112671691699873</v>
      </c>
      <c r="BA78" s="10">
        <v>12.636303340314734</v>
      </c>
      <c r="BB78" s="11">
        <v>13.204575195359627</v>
      </c>
      <c r="BC78" s="11" t="s">
        <v>114</v>
      </c>
      <c r="BD78" s="11">
        <v>28.951556893960465</v>
      </c>
    </row>
    <row r="79" spans="1:56" x14ac:dyDescent="0.3">
      <c r="A79" t="s">
        <v>190</v>
      </c>
      <c r="B79" t="s">
        <v>62</v>
      </c>
      <c r="C79" s="10">
        <v>4150.0315798704141</v>
      </c>
      <c r="D79" s="11">
        <v>2466.7279074697458</v>
      </c>
      <c r="E79" s="10">
        <v>59.406728746156411</v>
      </c>
      <c r="F79" s="10">
        <v>151675.85693561364</v>
      </c>
      <c r="G79" s="10" t="s">
        <v>114</v>
      </c>
      <c r="H79" s="10">
        <v>375103.6246996242</v>
      </c>
      <c r="I79" s="11">
        <v>371241.62239539018</v>
      </c>
      <c r="J79" s="10">
        <v>3.4792163224843575</v>
      </c>
      <c r="K79" s="11">
        <v>26.050199018138873</v>
      </c>
      <c r="L79" s="11">
        <v>4.0108932723813666</v>
      </c>
      <c r="M79" s="11">
        <v>257.97632162439606</v>
      </c>
      <c r="N79" s="11">
        <v>2546.0428893928756</v>
      </c>
      <c r="O79" s="10">
        <v>2554.5113285395887</v>
      </c>
      <c r="P79" s="10">
        <v>1.1716819106411496</v>
      </c>
      <c r="Q79" s="11">
        <v>8.9642203248388572</v>
      </c>
      <c r="R79" s="11">
        <v>12.034865603901176</v>
      </c>
      <c r="S79" s="10">
        <v>12.294229969112758</v>
      </c>
      <c r="T79" s="11">
        <v>373.47004913893159</v>
      </c>
      <c r="U79" s="10">
        <v>358.41935441431923</v>
      </c>
      <c r="V79" s="10">
        <v>50.884933661452017</v>
      </c>
      <c r="W79" s="10">
        <v>10.89685166791403</v>
      </c>
      <c r="X79" s="10" t="s">
        <v>114</v>
      </c>
      <c r="Y79" s="11">
        <v>1219.741677899387</v>
      </c>
      <c r="Z79" s="10">
        <v>2.6394949612828014</v>
      </c>
      <c r="AA79" s="10">
        <v>0.79471938642648143</v>
      </c>
      <c r="AB79" s="10">
        <v>0.74451258279583432</v>
      </c>
      <c r="AC79" s="10">
        <v>6.4027574910240395</v>
      </c>
      <c r="AD79" s="10" t="s">
        <v>114</v>
      </c>
      <c r="AE79" s="10">
        <v>4.4517218469992486</v>
      </c>
      <c r="AF79" s="10">
        <v>4.7777402931364395E-3</v>
      </c>
      <c r="AG79" s="11">
        <v>65.358577805943312</v>
      </c>
      <c r="AH79" s="11">
        <v>0.14633820124961966</v>
      </c>
      <c r="AI79" s="11">
        <v>0.32470261067513634</v>
      </c>
      <c r="AJ79" s="11">
        <v>2.662108951289837E-2</v>
      </c>
      <c r="AK79" s="11">
        <v>0.13140936857922841</v>
      </c>
      <c r="AL79" s="11">
        <v>2.7191384417512367E-2</v>
      </c>
      <c r="AM79" s="11">
        <v>9.401053112529402E-3</v>
      </c>
      <c r="AN79" s="11">
        <v>2.9211845722234606E-2</v>
      </c>
      <c r="AO79" s="11">
        <v>6.8588233522277279E-3</v>
      </c>
      <c r="AP79" s="11">
        <v>4.2300781428929034E-2</v>
      </c>
      <c r="AQ79" s="11">
        <v>1.1335542967419426E-2</v>
      </c>
      <c r="AR79" s="11">
        <v>4.4903248356226069E-2</v>
      </c>
      <c r="AS79" s="11">
        <v>5.9509202747051217E-3</v>
      </c>
      <c r="AT79" s="11">
        <v>4.7737582490709474E-2</v>
      </c>
      <c r="AU79" s="11">
        <v>8.3545983989096895E-3</v>
      </c>
      <c r="AV79" s="10" t="s">
        <v>114</v>
      </c>
      <c r="AW79" s="10" t="s">
        <v>114</v>
      </c>
      <c r="AX79" s="10" t="s">
        <v>114</v>
      </c>
      <c r="AY79" s="10">
        <v>1.5140748195757376E-2</v>
      </c>
      <c r="AZ79" s="10">
        <v>12.853974056264946</v>
      </c>
      <c r="BA79" s="10">
        <v>11.603931051053086</v>
      </c>
      <c r="BB79" s="11">
        <v>12.030739388846877</v>
      </c>
      <c r="BC79" s="11" t="s">
        <v>114</v>
      </c>
      <c r="BD79" s="11">
        <v>48.05354954757172</v>
      </c>
    </row>
    <row r="80" spans="1:56" x14ac:dyDescent="0.3">
      <c r="A80" t="s">
        <v>191</v>
      </c>
      <c r="B80" t="s">
        <v>62</v>
      </c>
      <c r="C80" s="10">
        <v>3221.4802591595217</v>
      </c>
      <c r="D80" s="11">
        <v>2221.9982989560349</v>
      </c>
      <c r="E80" s="10">
        <v>186.6898299463958</v>
      </c>
      <c r="F80" s="10">
        <v>153601.06531237083</v>
      </c>
      <c r="G80" s="10" t="s">
        <v>114</v>
      </c>
      <c r="H80" s="10">
        <v>370036.87868829689</v>
      </c>
      <c r="I80" s="11">
        <v>363324.22828194581</v>
      </c>
      <c r="J80" s="10">
        <v>5.4494470309932055</v>
      </c>
      <c r="K80" s="11">
        <v>24.335332340138841</v>
      </c>
      <c r="L80" s="11">
        <v>3.9970644306963026</v>
      </c>
      <c r="M80" s="11">
        <v>209.78363438920255</v>
      </c>
      <c r="N80" s="11">
        <v>2428.2665100608219</v>
      </c>
      <c r="O80" s="10">
        <v>2453.9725540478844</v>
      </c>
      <c r="P80" s="10">
        <v>1.1072082600682438</v>
      </c>
      <c r="Q80" s="11">
        <v>8.5240108717175289</v>
      </c>
      <c r="R80" s="11">
        <v>18.201012413765874</v>
      </c>
      <c r="S80" s="10">
        <v>18.387734106633072</v>
      </c>
      <c r="T80" s="11">
        <v>154.33670392714029</v>
      </c>
      <c r="U80" s="10">
        <v>150.10860787524933</v>
      </c>
      <c r="V80" s="10">
        <v>24.055979968950005</v>
      </c>
      <c r="W80" s="10" t="s">
        <v>114</v>
      </c>
      <c r="X80" s="10">
        <v>0.21639834490734067</v>
      </c>
      <c r="Y80" s="11">
        <v>1083.7653699794921</v>
      </c>
      <c r="Z80" s="10">
        <v>2.2320977918208897</v>
      </c>
      <c r="AA80" s="10" t="s">
        <v>114</v>
      </c>
      <c r="AB80" s="10" t="s">
        <v>114</v>
      </c>
      <c r="AC80" s="10">
        <v>0.25933498897794227</v>
      </c>
      <c r="AD80" s="10" t="s">
        <v>114</v>
      </c>
      <c r="AE80" s="10">
        <v>2.3619744468071979</v>
      </c>
      <c r="AF80" s="10">
        <v>8.9781177578650215E-3</v>
      </c>
      <c r="AG80" s="11">
        <v>63.508532477977838</v>
      </c>
      <c r="AH80" s="11">
        <v>0.37049041244060937</v>
      </c>
      <c r="AI80" s="11">
        <v>0.82111448197408277</v>
      </c>
      <c r="AJ80" s="11">
        <v>6.3252751178697081E-2</v>
      </c>
      <c r="AK80" s="11">
        <v>0.27218156312540709</v>
      </c>
      <c r="AL80" s="11">
        <v>5.7992952988841495E-2</v>
      </c>
      <c r="AM80" s="11">
        <v>1.2576993677190375E-2</v>
      </c>
      <c r="AN80" s="11">
        <v>6.7393701095172343E-2</v>
      </c>
      <c r="AO80" s="11">
        <v>1.0396175166177116E-2</v>
      </c>
      <c r="AP80" s="11">
        <v>8.7532780397961946E-2</v>
      </c>
      <c r="AQ80" s="11">
        <v>2.3431405313037345E-2</v>
      </c>
      <c r="AR80" s="11">
        <v>7.0606567260155975E-2</v>
      </c>
      <c r="AS80" s="11">
        <v>1.2070597329099561E-2</v>
      </c>
      <c r="AT80" s="11">
        <v>8.3565816450520303E-2</v>
      </c>
      <c r="AU80" s="11">
        <v>1.4947192940973389E-2</v>
      </c>
      <c r="AV80" s="10" t="s">
        <v>114</v>
      </c>
      <c r="AW80" s="10" t="s">
        <v>114</v>
      </c>
      <c r="AX80" s="10" t="s">
        <v>114</v>
      </c>
      <c r="AY80" s="10">
        <v>6.3755680385453414E-2</v>
      </c>
      <c r="AZ80" s="10">
        <v>16.796112193209058</v>
      </c>
      <c r="BA80" s="10">
        <v>15.050740627222817</v>
      </c>
      <c r="BB80" s="11">
        <v>15.737994138314919</v>
      </c>
      <c r="BC80" s="11" t="s">
        <v>114</v>
      </c>
      <c r="BD80" s="11">
        <v>28.921465136384903</v>
      </c>
    </row>
    <row r="81" spans="1:56" x14ac:dyDescent="0.3">
      <c r="A81" s="1" t="s">
        <v>192</v>
      </c>
      <c r="B81" t="s">
        <v>57</v>
      </c>
      <c r="C81" s="10">
        <v>4197.3190312650195</v>
      </c>
      <c r="D81" s="11">
        <v>1145.2912938425318</v>
      </c>
      <c r="E81" s="10">
        <v>39.320738489054101</v>
      </c>
      <c r="F81" s="10">
        <v>169507.88609353648</v>
      </c>
      <c r="G81" s="10">
        <v>62.242596508775719</v>
      </c>
      <c r="H81" s="10">
        <v>403118.54880654759</v>
      </c>
      <c r="I81" s="11">
        <v>396907.01250959601</v>
      </c>
      <c r="J81" s="10">
        <v>5.2459712171230137</v>
      </c>
      <c r="K81" s="11">
        <v>15.063026014260469</v>
      </c>
      <c r="L81" s="11">
        <v>10.42100028718836</v>
      </c>
      <c r="M81" s="11">
        <v>423.52449581608067</v>
      </c>
      <c r="N81" s="11">
        <v>996.51734525754614</v>
      </c>
      <c r="O81" s="10">
        <v>1014.5543562445303</v>
      </c>
      <c r="P81" s="10">
        <v>1.0016934826399824</v>
      </c>
      <c r="Q81" s="11" t="s">
        <v>114</v>
      </c>
      <c r="R81" s="11">
        <v>13.496004752685497</v>
      </c>
      <c r="S81" s="10">
        <v>13.79590534760162</v>
      </c>
      <c r="T81" s="11">
        <v>100.85178402869695</v>
      </c>
      <c r="U81" s="10">
        <v>101.15519131941559</v>
      </c>
      <c r="V81" s="10">
        <v>16.455512470523928</v>
      </c>
      <c r="W81" s="10" t="s">
        <v>114</v>
      </c>
      <c r="X81" s="10" t="s">
        <v>114</v>
      </c>
      <c r="Y81" s="11">
        <v>1508.8617490131751</v>
      </c>
      <c r="Z81" s="10">
        <v>8.2243869752345873</v>
      </c>
      <c r="AA81" s="10">
        <v>2.6617111086016472</v>
      </c>
      <c r="AB81" s="10">
        <v>2.6542483734691289</v>
      </c>
      <c r="AC81" s="10" t="s">
        <v>114</v>
      </c>
      <c r="AD81" s="10">
        <v>0.88064121068846357</v>
      </c>
      <c r="AE81" s="10">
        <v>0.90333063811048009</v>
      </c>
      <c r="AF81" s="10">
        <v>3.1836390736727717E-3</v>
      </c>
      <c r="AG81" s="11">
        <v>63.413129863332635</v>
      </c>
      <c r="AH81" s="11">
        <v>0.12808565776671518</v>
      </c>
      <c r="AI81" s="11">
        <v>0.23498104970888517</v>
      </c>
      <c r="AJ81" s="11">
        <v>2.0290143679479587E-2</v>
      </c>
      <c r="AK81" s="11">
        <v>8.8962642941994699E-2</v>
      </c>
      <c r="AL81" s="11">
        <v>2.5261112493892166E-2</v>
      </c>
      <c r="AM81" s="11">
        <v>6.9358801732759563E-3</v>
      </c>
      <c r="AN81" s="11">
        <v>2.5978566589524587E-2</v>
      </c>
      <c r="AO81" s="11">
        <v>5.7119257165255573E-3</v>
      </c>
      <c r="AP81" s="11">
        <v>3.9222702778203763E-2</v>
      </c>
      <c r="AQ81" s="11">
        <v>1.026200742010081E-2</v>
      </c>
      <c r="AR81" s="11">
        <v>4.0138532800111287E-2</v>
      </c>
      <c r="AS81" s="11">
        <v>6.8348346602318168E-3</v>
      </c>
      <c r="AT81" s="11">
        <v>6.0977322834628374E-2</v>
      </c>
      <c r="AU81" s="11">
        <v>9.7986397626735663E-3</v>
      </c>
      <c r="AV81" s="10">
        <v>2.0117536941256482</v>
      </c>
      <c r="AW81" s="10">
        <v>4.3876622926228359</v>
      </c>
      <c r="AX81" s="10" t="s">
        <v>114</v>
      </c>
      <c r="AY81" s="10">
        <v>1.6099236211923308E-2</v>
      </c>
      <c r="AZ81" s="10">
        <v>7.9160446646334979</v>
      </c>
      <c r="BA81" s="10">
        <v>7.194319933119437</v>
      </c>
      <c r="BB81" s="11">
        <v>7.093755473291588</v>
      </c>
      <c r="BC81" s="11">
        <v>0.6025971740343834</v>
      </c>
      <c r="BD81" s="11">
        <v>41.88163342502385</v>
      </c>
    </row>
    <row r="82" spans="1:56" x14ac:dyDescent="0.3">
      <c r="A82" s="1" t="s">
        <v>193</v>
      </c>
      <c r="B82" t="s">
        <v>57</v>
      </c>
      <c r="C82" s="10">
        <v>5411.6262343384906</v>
      </c>
      <c r="D82" s="11">
        <v>1378.2928260700223</v>
      </c>
      <c r="E82" s="10">
        <v>89.049280250969304</v>
      </c>
      <c r="F82" s="10">
        <v>241257.18153568756</v>
      </c>
      <c r="G82" s="10">
        <v>111.00788893841403</v>
      </c>
      <c r="H82" s="10">
        <v>579094.71918894409</v>
      </c>
      <c r="I82" s="11">
        <v>563931.32879006583</v>
      </c>
      <c r="J82" s="10">
        <v>10.711439592956937</v>
      </c>
      <c r="K82" s="11">
        <v>42.430517438283402</v>
      </c>
      <c r="L82" s="11">
        <v>6.9265048549953079</v>
      </c>
      <c r="M82" s="11">
        <v>701.60928855160125</v>
      </c>
      <c r="N82" s="11">
        <v>1640.0869950261476</v>
      </c>
      <c r="O82" s="10">
        <v>1666.3412576512326</v>
      </c>
      <c r="P82" s="10">
        <v>1.7973808192508152</v>
      </c>
      <c r="Q82" s="11" t="s">
        <v>114</v>
      </c>
      <c r="R82" s="11">
        <v>22.999740807431689</v>
      </c>
      <c r="S82" s="10">
        <v>22.308675335419565</v>
      </c>
      <c r="T82" s="11">
        <v>220.86606324874947</v>
      </c>
      <c r="U82" s="10">
        <v>217.16732803732782</v>
      </c>
      <c r="V82" s="10">
        <v>9.3547421112823823</v>
      </c>
      <c r="W82" s="10" t="s">
        <v>114</v>
      </c>
      <c r="X82" s="10">
        <v>0.21833461279935232</v>
      </c>
      <c r="Y82" s="11">
        <v>1942.2884501049571</v>
      </c>
      <c r="Z82" s="10">
        <v>9.1233370863305705</v>
      </c>
      <c r="AA82" s="10">
        <v>1.8132293093027854</v>
      </c>
      <c r="AB82" s="10">
        <v>1.8213392706079619</v>
      </c>
      <c r="AC82" s="10">
        <v>0.22925909344287876</v>
      </c>
      <c r="AD82" s="10">
        <v>0.82287647561676369</v>
      </c>
      <c r="AE82" s="10">
        <v>0.94019180457480722</v>
      </c>
      <c r="AF82" s="10">
        <v>2.8807750409837567E-3</v>
      </c>
      <c r="AG82" s="11">
        <v>88.192763057371565</v>
      </c>
      <c r="AH82" s="11">
        <v>0.72015398404611175</v>
      </c>
      <c r="AI82" s="11">
        <v>1.1175454791278183</v>
      </c>
      <c r="AJ82" s="11">
        <v>0.1030711279402389</v>
      </c>
      <c r="AK82" s="11">
        <v>0.45713625934695945</v>
      </c>
      <c r="AL82" s="11">
        <v>0.10437664739587954</v>
      </c>
      <c r="AM82" s="11">
        <v>2.6010614306558343E-2</v>
      </c>
      <c r="AN82" s="11">
        <v>0.13118035041590925</v>
      </c>
      <c r="AO82" s="11">
        <v>2.1332370802767023E-2</v>
      </c>
      <c r="AP82" s="11">
        <v>0.18548603246301221</v>
      </c>
      <c r="AQ82" s="11">
        <v>4.9220825575401923E-2</v>
      </c>
      <c r="AR82" s="11">
        <v>0.16351257745438827</v>
      </c>
      <c r="AS82" s="11">
        <v>2.6720844467206718E-2</v>
      </c>
      <c r="AT82" s="11">
        <v>0.18421643644730418</v>
      </c>
      <c r="AU82" s="11">
        <v>3.2379296012035243E-2</v>
      </c>
      <c r="AV82" s="10">
        <v>1.5914787888025341</v>
      </c>
      <c r="AW82" s="10">
        <v>3.6020562941610104</v>
      </c>
      <c r="AX82" s="10" t="s">
        <v>114</v>
      </c>
      <c r="AY82" s="10">
        <v>6.8572333602573241E-2</v>
      </c>
      <c r="AZ82" s="10">
        <v>27.801850989852834</v>
      </c>
      <c r="BA82" s="10">
        <v>24.960966737390947</v>
      </c>
      <c r="BB82" s="11">
        <v>24.862526246013225</v>
      </c>
      <c r="BC82" s="11">
        <v>0.52075175560925691</v>
      </c>
      <c r="BD82" s="11">
        <v>50.402453594103442</v>
      </c>
    </row>
    <row r="83" spans="1:56" x14ac:dyDescent="0.3">
      <c r="A83" s="1" t="s">
        <v>194</v>
      </c>
      <c r="B83" t="s">
        <v>57</v>
      </c>
      <c r="C83" s="10">
        <v>5900.1198194041035</v>
      </c>
      <c r="D83" s="11">
        <v>1473.8325267063603</v>
      </c>
      <c r="E83" s="10">
        <v>141.75582142612092</v>
      </c>
      <c r="F83" s="10">
        <v>213452.66940527255</v>
      </c>
      <c r="G83" s="10">
        <v>80.714090638671266</v>
      </c>
      <c r="H83" s="10">
        <v>505335.53285171324</v>
      </c>
      <c r="I83" s="11">
        <v>501831.80147844064</v>
      </c>
      <c r="J83" s="10">
        <v>14.594355622391616</v>
      </c>
      <c r="K83" s="11">
        <v>34.417194704254939</v>
      </c>
      <c r="L83" s="11">
        <v>13.471241637793277</v>
      </c>
      <c r="M83" s="11">
        <v>969.05825001737117</v>
      </c>
      <c r="N83" s="11">
        <v>1916.0508951351171</v>
      </c>
      <c r="O83" s="10">
        <v>1906.6172201254662</v>
      </c>
      <c r="P83" s="10">
        <v>2.1747495815695843</v>
      </c>
      <c r="Q83" s="11" t="s">
        <v>114</v>
      </c>
      <c r="R83" s="11">
        <v>25.037027770742029</v>
      </c>
      <c r="S83" s="10">
        <v>24.716674555969504</v>
      </c>
      <c r="T83" s="11">
        <v>140.71908468576132</v>
      </c>
      <c r="U83" s="10">
        <v>134.9778407586542</v>
      </c>
      <c r="V83" s="10">
        <v>21.956208467928853</v>
      </c>
      <c r="W83" s="10" t="s">
        <v>114</v>
      </c>
      <c r="X83" s="10">
        <v>0.13829920315449873</v>
      </c>
      <c r="Y83" s="11">
        <v>2179.6828391567933</v>
      </c>
      <c r="Z83" s="10">
        <v>16.136857437269899</v>
      </c>
      <c r="AA83" s="10">
        <v>1.3525587389666096</v>
      </c>
      <c r="AB83" s="10">
        <v>1.6445404041125444</v>
      </c>
      <c r="AC83" s="10">
        <v>6.2812869664575971E-2</v>
      </c>
      <c r="AD83" s="10">
        <v>0.69456108768291525</v>
      </c>
      <c r="AE83" s="10">
        <v>2.7561620934911981</v>
      </c>
      <c r="AF83" s="10">
        <v>3.3629943000108211E-3</v>
      </c>
      <c r="AG83" s="11">
        <v>66.522622323550593</v>
      </c>
      <c r="AH83" s="11">
        <v>0.36191490556175615</v>
      </c>
      <c r="AI83" s="11">
        <v>0.71986062481306667</v>
      </c>
      <c r="AJ83" s="11">
        <v>7.0282371089947768E-2</v>
      </c>
      <c r="AK83" s="11">
        <v>0.30067992820409634</v>
      </c>
      <c r="AL83" s="11">
        <v>5.5481347764312829E-2</v>
      </c>
      <c r="AM83" s="11">
        <v>2.338139174958866E-2</v>
      </c>
      <c r="AN83" s="11">
        <v>8.4267639114974632E-2</v>
      </c>
      <c r="AO83" s="11">
        <v>1.5619085946855845E-2</v>
      </c>
      <c r="AP83" s="11">
        <v>8.1576208692557398E-2</v>
      </c>
      <c r="AQ83" s="11">
        <v>2.560389877851274E-2</v>
      </c>
      <c r="AR83" s="11">
        <v>8.4794606041291964E-2</v>
      </c>
      <c r="AS83" s="11">
        <v>1.2213423161684209E-2</v>
      </c>
      <c r="AT83" s="11">
        <v>0.11942123177116346</v>
      </c>
      <c r="AU83" s="11">
        <v>2.1456021853373128E-2</v>
      </c>
      <c r="AV83" s="10">
        <v>1.9568464835842474</v>
      </c>
      <c r="AW83" s="10">
        <v>3.3847300803168512</v>
      </c>
      <c r="AX83" s="10" t="s">
        <v>114</v>
      </c>
      <c r="AY83" s="10">
        <v>7.7438435288526952E-2</v>
      </c>
      <c r="AZ83" s="10">
        <v>63.728093781906232</v>
      </c>
      <c r="BA83" s="10">
        <v>57.436783934245021</v>
      </c>
      <c r="BB83" s="11">
        <v>57.020958635455436</v>
      </c>
      <c r="BC83" s="11">
        <v>0.56846280247850378</v>
      </c>
      <c r="BD83" s="11">
        <v>84.549880018728899</v>
      </c>
    </row>
    <row r="84" spans="1:56" x14ac:dyDescent="0.3">
      <c r="A84" s="1" t="s">
        <v>195</v>
      </c>
      <c r="B84" t="s">
        <v>57</v>
      </c>
      <c r="C84" s="10">
        <v>6030.6626319636553</v>
      </c>
      <c r="D84" s="11">
        <v>1278.8095703093093</v>
      </c>
      <c r="E84" s="10">
        <v>49.130134355865295</v>
      </c>
      <c r="F84" s="10">
        <v>169590.73551596963</v>
      </c>
      <c r="G84" s="10">
        <v>78.88580650066595</v>
      </c>
      <c r="H84" s="10">
        <v>408176.86251453892</v>
      </c>
      <c r="I84" s="11">
        <v>402972.87613429222</v>
      </c>
      <c r="J84" s="10">
        <v>8.9435031123028423</v>
      </c>
      <c r="K84" s="11">
        <v>14.0018092818905</v>
      </c>
      <c r="L84" s="11">
        <v>7.377643687120103</v>
      </c>
      <c r="M84" s="11">
        <v>668.16287335645143</v>
      </c>
      <c r="N84" s="11">
        <v>1811.5200434128267</v>
      </c>
      <c r="O84" s="10">
        <v>1840.5277555011398</v>
      </c>
      <c r="P84" s="10">
        <v>1.0737191301984466</v>
      </c>
      <c r="Q84" s="11" t="s">
        <v>114</v>
      </c>
      <c r="R84" s="11">
        <v>23.434985686327739</v>
      </c>
      <c r="S84" s="10">
        <v>23.627792605028965</v>
      </c>
      <c r="T84" s="11">
        <v>141.05587085701967</v>
      </c>
      <c r="U84" s="10">
        <v>139.50834601798707</v>
      </c>
      <c r="V84" s="10">
        <v>13.326261475654436</v>
      </c>
      <c r="W84" s="10" t="s">
        <v>114</v>
      </c>
      <c r="X84" s="10" t="s">
        <v>114</v>
      </c>
      <c r="Y84" s="11">
        <v>2145.8550455899981</v>
      </c>
      <c r="Z84" s="10">
        <v>10.123199248075908</v>
      </c>
      <c r="AA84" s="10">
        <v>0.97109216830828349</v>
      </c>
      <c r="AB84" s="10">
        <v>1.1718175607165711</v>
      </c>
      <c r="AC84" s="10">
        <v>8.2015606426926013E-2</v>
      </c>
      <c r="AD84" s="10">
        <v>0.48031675146036007</v>
      </c>
      <c r="AE84" s="10">
        <v>1.7558765446764615</v>
      </c>
      <c r="AF84" s="10">
        <v>1.6818871925961913E-3</v>
      </c>
      <c r="AG84" s="11">
        <v>71.713103974631608</v>
      </c>
      <c r="AH84" s="11">
        <v>0.20233079758616795</v>
      </c>
      <c r="AI84" s="11">
        <v>0.22228876651908097</v>
      </c>
      <c r="AJ84" s="11">
        <v>1.8330219383760189E-2</v>
      </c>
      <c r="AK84" s="11">
        <v>7.2987712009355027E-2</v>
      </c>
      <c r="AL84" s="11">
        <v>3.2774060204126598E-2</v>
      </c>
      <c r="AM84" s="11">
        <v>6.9250072352728511E-3</v>
      </c>
      <c r="AN84" s="11">
        <v>3.7879190286577394E-2</v>
      </c>
      <c r="AO84" s="11">
        <v>6.2659263879941765E-3</v>
      </c>
      <c r="AP84" s="11">
        <v>4.399960312503344E-2</v>
      </c>
      <c r="AQ84" s="11">
        <v>1.1170812267023152E-2</v>
      </c>
      <c r="AR84" s="11">
        <v>5.6005259518185344E-2</v>
      </c>
      <c r="AS84" s="11">
        <v>1.1747259546323616E-2</v>
      </c>
      <c r="AT84" s="11">
        <v>7.5371597794206435E-2</v>
      </c>
      <c r="AU84" s="11">
        <v>1.0861599171612148E-2</v>
      </c>
      <c r="AV84" s="10">
        <v>1.0548559618043993</v>
      </c>
      <c r="AW84" s="10">
        <v>2.7489522657120284</v>
      </c>
      <c r="AX84" s="10" t="s">
        <v>114</v>
      </c>
      <c r="AY84" s="10">
        <v>2.8248200087228587E-2</v>
      </c>
      <c r="AZ84" s="10">
        <v>34.408096429147363</v>
      </c>
      <c r="BA84" s="10">
        <v>31.026335629163192</v>
      </c>
      <c r="BB84" s="11">
        <v>30.877264086970989</v>
      </c>
      <c r="BC84" s="11">
        <v>0.30739291943886538</v>
      </c>
      <c r="BD84" s="11">
        <v>62.528667259715739</v>
      </c>
    </row>
    <row r="85" spans="1:56" x14ac:dyDescent="0.3">
      <c r="A85" s="1" t="s">
        <v>196</v>
      </c>
      <c r="B85" t="s">
        <v>57</v>
      </c>
      <c r="C85" s="10">
        <v>7318.4178676539022</v>
      </c>
      <c r="D85" s="11">
        <v>1937.7797465164217</v>
      </c>
      <c r="E85" s="10">
        <v>729.22975884558559</v>
      </c>
      <c r="F85" s="10">
        <v>231205.76866205604</v>
      </c>
      <c r="G85" s="10">
        <v>119.39638747664824</v>
      </c>
      <c r="H85" s="10">
        <v>554471.5374934359</v>
      </c>
      <c r="I85" s="11">
        <v>546635.23989400163</v>
      </c>
      <c r="J85" s="10">
        <v>8.5571900991265082</v>
      </c>
      <c r="K85" s="11">
        <v>154.20201893103976</v>
      </c>
      <c r="L85" s="11">
        <v>62.655746645477159</v>
      </c>
      <c r="M85" s="11">
        <v>1905.9595802620288</v>
      </c>
      <c r="N85" s="11">
        <v>31307.144625285775</v>
      </c>
      <c r="O85" s="10">
        <v>36760.529357323001</v>
      </c>
      <c r="P85" s="10">
        <v>18.66790079236166</v>
      </c>
      <c r="Q85" s="11">
        <v>73.20686469276346</v>
      </c>
      <c r="R85" s="11">
        <v>57.141038607862455</v>
      </c>
      <c r="S85" s="10">
        <v>57.211791390481856</v>
      </c>
      <c r="T85" s="11">
        <v>217.96915242450029</v>
      </c>
      <c r="U85" s="10">
        <v>211.44309410507336</v>
      </c>
      <c r="V85" s="10">
        <v>179.4904825916862</v>
      </c>
      <c r="W85" s="10" t="s">
        <v>114</v>
      </c>
      <c r="X85" s="10">
        <v>0.21273645415305023</v>
      </c>
      <c r="Y85" s="11">
        <v>2150.3754663001446</v>
      </c>
      <c r="Z85" s="10">
        <v>17.867203603825839</v>
      </c>
      <c r="AA85" s="10">
        <v>3.1095948625876484</v>
      </c>
      <c r="AB85" s="10">
        <v>2.9725554317432943</v>
      </c>
      <c r="AC85" s="10">
        <v>0.33864230906225057</v>
      </c>
      <c r="AD85" s="10">
        <v>0.73533518660639063</v>
      </c>
      <c r="AE85" s="10">
        <v>4.3287678787860511</v>
      </c>
      <c r="AF85" s="10">
        <v>1.2863932258156906E-3</v>
      </c>
      <c r="AG85" s="11">
        <v>86.128279388081012</v>
      </c>
      <c r="AH85" s="11">
        <v>0.13054190924247655</v>
      </c>
      <c r="AI85" s="11">
        <v>0.16214139901169186</v>
      </c>
      <c r="AJ85" s="11">
        <v>1.4190061620452265E-2</v>
      </c>
      <c r="AK85" s="11">
        <v>7.6871390374161117E-2</v>
      </c>
      <c r="AL85" s="11">
        <v>2.2802591617068737E-2</v>
      </c>
      <c r="AM85" s="11">
        <v>4.5672713463729715E-3</v>
      </c>
      <c r="AN85" s="11">
        <v>2.0905668428307971E-2</v>
      </c>
      <c r="AO85" s="11">
        <v>3.8841707810740034E-3</v>
      </c>
      <c r="AP85" s="11">
        <v>3.4657035498546977E-2</v>
      </c>
      <c r="AQ85" s="11">
        <v>1.0916901871639448E-2</v>
      </c>
      <c r="AR85" s="11">
        <v>5.530565887214639E-2</v>
      </c>
      <c r="AS85" s="11">
        <v>8.3488372522503261E-3</v>
      </c>
      <c r="AT85" s="11">
        <v>7.4092048511476064E-2</v>
      </c>
      <c r="AU85" s="11">
        <v>1.3954396293944864E-2</v>
      </c>
      <c r="AV85" s="10">
        <v>1.4059842730134542</v>
      </c>
      <c r="AW85" s="10">
        <v>3.5666274722869922</v>
      </c>
      <c r="AX85" s="10" t="s">
        <v>114</v>
      </c>
      <c r="AY85" s="10">
        <v>2.9411028641916855E-2</v>
      </c>
      <c r="AZ85" s="10">
        <v>92.404674299490779</v>
      </c>
      <c r="BA85" s="10">
        <v>83.462814529642756</v>
      </c>
      <c r="BB85" s="11">
        <v>82.942535183307115</v>
      </c>
      <c r="BC85" s="11">
        <v>0.43645590188432454</v>
      </c>
      <c r="BD85" s="11">
        <v>70.522028555822629</v>
      </c>
    </row>
    <row r="86" spans="1:56" x14ac:dyDescent="0.3">
      <c r="A86" s="1" t="s">
        <v>197</v>
      </c>
      <c r="B86" t="s">
        <v>57</v>
      </c>
      <c r="C86" s="10">
        <v>5426.9032849079258</v>
      </c>
      <c r="D86" s="11">
        <v>1238.5122275512913</v>
      </c>
      <c r="E86" s="10">
        <v>88.145985552369396</v>
      </c>
      <c r="F86" s="10">
        <v>191267.22247904071</v>
      </c>
      <c r="G86" s="10">
        <v>120.41505273471191</v>
      </c>
      <c r="H86" s="10">
        <v>457643.45859723922</v>
      </c>
      <c r="I86" s="11">
        <v>452326.18907162797</v>
      </c>
      <c r="J86" s="10" t="s">
        <v>114</v>
      </c>
      <c r="K86" s="11">
        <v>32.596219225312431</v>
      </c>
      <c r="L86" s="11">
        <v>17.964752489554478</v>
      </c>
      <c r="M86" s="11">
        <v>2023.9654155096387</v>
      </c>
      <c r="N86" s="11">
        <v>3994.1307992016918</v>
      </c>
      <c r="O86" s="10">
        <v>3988.0041120334945</v>
      </c>
      <c r="P86" s="10">
        <v>27.843235715851179</v>
      </c>
      <c r="Q86" s="11">
        <v>14.496745219476393</v>
      </c>
      <c r="R86" s="11">
        <v>47.006176113843431</v>
      </c>
      <c r="S86" s="10">
        <v>47.414152037462038</v>
      </c>
      <c r="T86" s="11">
        <v>169.5531557968292</v>
      </c>
      <c r="U86" s="10">
        <v>166.77777272918038</v>
      </c>
      <c r="V86" s="10">
        <v>21.061865355866097</v>
      </c>
      <c r="W86" s="10" t="s">
        <v>114</v>
      </c>
      <c r="X86" s="10" t="s">
        <v>114</v>
      </c>
      <c r="Y86" s="11">
        <v>1851.2997008401962</v>
      </c>
      <c r="Z86" s="10">
        <v>8.0195473157309252</v>
      </c>
      <c r="AA86" s="10">
        <v>1.8237777299918581</v>
      </c>
      <c r="AB86" s="10">
        <v>1.8365669747412732</v>
      </c>
      <c r="AC86" s="10">
        <v>8.3901551839482807E-2</v>
      </c>
      <c r="AD86" s="10">
        <v>0.50556993801591532</v>
      </c>
      <c r="AE86" s="10">
        <v>1.2975208426593836</v>
      </c>
      <c r="AF86" s="10">
        <v>4.3725141292419636E-3</v>
      </c>
      <c r="AG86" s="11">
        <v>82.513488687859152</v>
      </c>
      <c r="AH86" s="11">
        <v>3.6754493941627997E-2</v>
      </c>
      <c r="AI86" s="11">
        <v>6.1563241730375792E-2</v>
      </c>
      <c r="AJ86" s="11" t="s">
        <v>114</v>
      </c>
      <c r="AK86" s="11">
        <v>2.3145443913135395E-2</v>
      </c>
      <c r="AL86" s="11" t="s">
        <v>114</v>
      </c>
      <c r="AM86" s="11" t="s">
        <v>114</v>
      </c>
      <c r="AN86" s="11" t="s">
        <v>114</v>
      </c>
      <c r="AO86" s="11" t="s">
        <v>114</v>
      </c>
      <c r="AP86" s="11">
        <v>1.067191256724105E-2</v>
      </c>
      <c r="AQ86" s="11" t="s">
        <v>114</v>
      </c>
      <c r="AR86" s="11" t="s">
        <v>114</v>
      </c>
      <c r="AS86" s="11" t="s">
        <v>114</v>
      </c>
      <c r="AT86" s="11">
        <v>1.9349473750693513E-2</v>
      </c>
      <c r="AU86" s="11">
        <v>3.1388768059447498E-3</v>
      </c>
      <c r="AV86" s="10">
        <v>0.69043062866460725</v>
      </c>
      <c r="AW86" s="10">
        <v>2.5144002114298143</v>
      </c>
      <c r="AX86" s="10" t="s">
        <v>114</v>
      </c>
      <c r="AY86" s="10">
        <v>3.9925306541690991E-2</v>
      </c>
      <c r="AZ86" s="10">
        <v>10.20809993560167</v>
      </c>
      <c r="BA86" s="10">
        <v>9.2741431969682324</v>
      </c>
      <c r="BB86" s="11">
        <v>9.1750620327201151</v>
      </c>
      <c r="BC86" s="11">
        <v>0.22903602380471585</v>
      </c>
      <c r="BD86" s="11">
        <v>45.574349934988462</v>
      </c>
    </row>
    <row r="87" spans="1:56" x14ac:dyDescent="0.3">
      <c r="A87" s="1" t="s">
        <v>198</v>
      </c>
      <c r="B87" t="s">
        <v>57</v>
      </c>
      <c r="C87" s="10">
        <v>6832.837135821881</v>
      </c>
      <c r="D87" s="11">
        <v>1285.6419618591658</v>
      </c>
      <c r="E87" s="10">
        <v>181.96621414851089</v>
      </c>
      <c r="F87" s="10">
        <v>179169.29669058695</v>
      </c>
      <c r="G87" s="10">
        <v>138.76933397506252</v>
      </c>
      <c r="H87" s="10">
        <v>427451.5329531444</v>
      </c>
      <c r="I87" s="11">
        <v>423111.04805745039</v>
      </c>
      <c r="J87" s="10">
        <v>8.0531325478966576</v>
      </c>
      <c r="K87" s="11">
        <v>61.667549912645093</v>
      </c>
      <c r="L87" s="11">
        <v>17.947713721684568</v>
      </c>
      <c r="M87" s="11">
        <v>1657.4417926638937</v>
      </c>
      <c r="N87" s="11">
        <v>14792.007973924547</v>
      </c>
      <c r="O87" s="10">
        <v>17402.242353040365</v>
      </c>
      <c r="P87" s="10">
        <v>14.701345741230014</v>
      </c>
      <c r="Q87" s="11">
        <v>25.974913547742734</v>
      </c>
      <c r="R87" s="11">
        <v>71.097336986099833</v>
      </c>
      <c r="S87" s="10">
        <v>71.823737892537409</v>
      </c>
      <c r="T87" s="11">
        <v>260.65944497634086</v>
      </c>
      <c r="U87" s="10">
        <v>323.19593024475375</v>
      </c>
      <c r="V87" s="10">
        <v>85.988824422783949</v>
      </c>
      <c r="W87" s="10">
        <v>12.566099871266665</v>
      </c>
      <c r="X87" s="10">
        <v>0.19344707569888026</v>
      </c>
      <c r="Y87" s="11">
        <v>1895.5790448469454</v>
      </c>
      <c r="Z87" s="10">
        <v>15.422087235909897</v>
      </c>
      <c r="AA87" s="10">
        <v>3.0440024318627823</v>
      </c>
      <c r="AB87" s="10">
        <v>3.0385288075192376</v>
      </c>
      <c r="AC87" s="10">
        <v>0.28810990654230145</v>
      </c>
      <c r="AD87" s="10">
        <v>0.60563862654357303</v>
      </c>
      <c r="AE87" s="10">
        <v>2.7072308723874432</v>
      </c>
      <c r="AF87" s="10">
        <v>2.7073558168921063E-3</v>
      </c>
      <c r="AG87" s="11">
        <v>1467.774637613318</v>
      </c>
      <c r="AH87" s="11">
        <v>0.41728620139983136</v>
      </c>
      <c r="AI87" s="11">
        <v>0.32021246985802521</v>
      </c>
      <c r="AJ87" s="11">
        <v>3.2037190689464402E-2</v>
      </c>
      <c r="AK87" s="11">
        <v>0.13944411589192376</v>
      </c>
      <c r="AL87" s="11">
        <v>2.6321117429455365E-2</v>
      </c>
      <c r="AM87" s="11">
        <v>2.4207141210859574E-2</v>
      </c>
      <c r="AN87" s="11">
        <v>5.0375615837015914E-2</v>
      </c>
      <c r="AO87" s="11">
        <v>9.1758983690176966E-3</v>
      </c>
      <c r="AP87" s="11">
        <v>9.3025641007850532E-2</v>
      </c>
      <c r="AQ87" s="11">
        <v>2.8029897383050634E-2</v>
      </c>
      <c r="AR87" s="11">
        <v>0.10993488555254247</v>
      </c>
      <c r="AS87" s="11">
        <v>1.7087272344911145E-2</v>
      </c>
      <c r="AT87" s="11">
        <v>0.15894707140472841</v>
      </c>
      <c r="AU87" s="11">
        <v>2.674794652541742E-2</v>
      </c>
      <c r="AV87" s="10">
        <v>2.1456801099547822</v>
      </c>
      <c r="AW87" s="10">
        <v>2.4713016532443275</v>
      </c>
      <c r="AX87" s="10" t="s">
        <v>114</v>
      </c>
      <c r="AY87" s="10">
        <v>4.1968923030524311E-2</v>
      </c>
      <c r="AZ87" s="10">
        <v>99.9382308400195</v>
      </c>
      <c r="BA87" s="10">
        <v>90.437220149123661</v>
      </c>
      <c r="BB87" s="11">
        <v>89.772707251894076</v>
      </c>
      <c r="BC87" s="11">
        <v>0.57591649269607947</v>
      </c>
      <c r="BD87" s="11">
        <v>52.889018147243576</v>
      </c>
    </row>
    <row r="88" spans="1:56" x14ac:dyDescent="0.3">
      <c r="A88" s="1" t="s">
        <v>199</v>
      </c>
      <c r="B88" t="s">
        <v>57</v>
      </c>
      <c r="C88" s="10">
        <v>6933.5542420850516</v>
      </c>
      <c r="D88" s="11">
        <v>1621.4809578998677</v>
      </c>
      <c r="E88" s="10">
        <v>262.11368423302588</v>
      </c>
      <c r="F88" s="10">
        <v>222864.06230689629</v>
      </c>
      <c r="G88" s="10">
        <v>142.59871205164308</v>
      </c>
      <c r="H88" s="10">
        <v>533009.49416580342</v>
      </c>
      <c r="I88" s="11">
        <v>522194.33025490842</v>
      </c>
      <c r="J88" s="10">
        <v>7.3111863097771259</v>
      </c>
      <c r="K88" s="11">
        <v>57.679740417362673</v>
      </c>
      <c r="L88" s="11">
        <v>22.206843471994453</v>
      </c>
      <c r="M88" s="11">
        <v>4053.9766029474026</v>
      </c>
      <c r="N88" s="11">
        <v>10654.462731293865</v>
      </c>
      <c r="O88" s="10">
        <v>10552.156853285309</v>
      </c>
      <c r="P88" s="10">
        <v>63.039809911603008</v>
      </c>
      <c r="Q88" s="11">
        <v>61.02616112348953</v>
      </c>
      <c r="R88" s="11">
        <v>72.074021670823853</v>
      </c>
      <c r="S88" s="10">
        <v>71.746152343493677</v>
      </c>
      <c r="T88" s="11">
        <v>178.02868251646746</v>
      </c>
      <c r="U88" s="10">
        <v>176.98902808110682</v>
      </c>
      <c r="V88" s="10">
        <v>54.994961172013504</v>
      </c>
      <c r="W88" s="10" t="s">
        <v>114</v>
      </c>
      <c r="X88" s="10" t="s">
        <v>114</v>
      </c>
      <c r="Y88" s="11">
        <v>2167.3027763309988</v>
      </c>
      <c r="Z88" s="10">
        <v>9.0426013292392255</v>
      </c>
      <c r="AA88" s="10">
        <v>2.8100657699102856</v>
      </c>
      <c r="AB88" s="10">
        <v>2.8279336699577304</v>
      </c>
      <c r="AC88" s="10">
        <v>0.10218916497521706</v>
      </c>
      <c r="AD88" s="10">
        <v>0.60686945303507422</v>
      </c>
      <c r="AE88" s="10">
        <v>2.1524538435807217</v>
      </c>
      <c r="AF88" s="10">
        <v>1.3381073898152515E-3</v>
      </c>
      <c r="AG88" s="11">
        <v>170.85878332653684</v>
      </c>
      <c r="AH88" s="11">
        <v>0.12161014743385254</v>
      </c>
      <c r="AI88" s="11">
        <v>9.6136112816175748E-2</v>
      </c>
      <c r="AJ88" s="11">
        <v>1.2141173006657499E-2</v>
      </c>
      <c r="AK88" s="11">
        <v>4.1455808870040189E-2</v>
      </c>
      <c r="AL88" s="11">
        <v>1.7922245510917534E-2</v>
      </c>
      <c r="AM88" s="11">
        <v>4.8421669523158444E-3</v>
      </c>
      <c r="AN88" s="11">
        <v>1.292045806514714E-2</v>
      </c>
      <c r="AO88" s="11">
        <v>4.5871900175566156E-3</v>
      </c>
      <c r="AP88" s="11">
        <v>3.3338771670970511E-2</v>
      </c>
      <c r="AQ88" s="11">
        <v>1.0563980828646687E-2</v>
      </c>
      <c r="AR88" s="11">
        <v>3.9240004350358675E-2</v>
      </c>
      <c r="AS88" s="11">
        <v>5.603007672579925E-3</v>
      </c>
      <c r="AT88" s="11">
        <v>6.7696200066917275E-2</v>
      </c>
      <c r="AU88" s="11">
        <v>9.8387134588583513E-3</v>
      </c>
      <c r="AV88" s="10">
        <v>1.0483671465997719</v>
      </c>
      <c r="AW88" s="10">
        <v>2.4900742435250316</v>
      </c>
      <c r="AX88" s="10" t="s">
        <v>114</v>
      </c>
      <c r="AY88" s="10">
        <v>2.4960730173956776E-2</v>
      </c>
      <c r="AZ88" s="10">
        <v>16.449962772414075</v>
      </c>
      <c r="BA88" s="10">
        <v>14.710215132742203</v>
      </c>
      <c r="BB88" s="11">
        <v>14.712062892823353</v>
      </c>
      <c r="BC88" s="11">
        <v>0.28104666939982315</v>
      </c>
      <c r="BD88" s="11">
        <v>61.490612351617258</v>
      </c>
    </row>
    <row r="89" spans="1:56" x14ac:dyDescent="0.3">
      <c r="A89" s="1" t="s">
        <v>200</v>
      </c>
      <c r="B89" t="s">
        <v>57</v>
      </c>
      <c r="C89" s="10">
        <v>5012.5963051187746</v>
      </c>
      <c r="D89" s="11">
        <v>1101.9634936349939</v>
      </c>
      <c r="E89" s="10">
        <v>56.272667140155093</v>
      </c>
      <c r="F89" s="10">
        <v>196509.40472815823</v>
      </c>
      <c r="G89" s="10">
        <v>132.56770876052312</v>
      </c>
      <c r="H89" s="10">
        <v>466526.82252041396</v>
      </c>
      <c r="I89" s="11">
        <v>456631.41941918677</v>
      </c>
      <c r="J89" s="10" t="s">
        <v>114</v>
      </c>
      <c r="K89" s="11">
        <v>21.402931841701896</v>
      </c>
      <c r="L89" s="11">
        <v>12.99484451406569</v>
      </c>
      <c r="M89" s="11">
        <v>732.30714390092521</v>
      </c>
      <c r="N89" s="11">
        <v>1189.7136056214758</v>
      </c>
      <c r="O89" s="10">
        <v>1188.3956755095164</v>
      </c>
      <c r="P89" s="10">
        <v>3.9295176085294186</v>
      </c>
      <c r="Q89" s="11" t="s">
        <v>114</v>
      </c>
      <c r="R89" s="11">
        <v>19.023109139224481</v>
      </c>
      <c r="S89" s="10">
        <v>19.125928505599809</v>
      </c>
      <c r="T89" s="11">
        <v>170.62339553219925</v>
      </c>
      <c r="U89" s="10">
        <v>164.83609065208177</v>
      </c>
      <c r="V89" s="10">
        <v>7.7980358424015908</v>
      </c>
      <c r="W89" s="10" t="s">
        <v>114</v>
      </c>
      <c r="X89" s="10">
        <v>0.12802636452181074</v>
      </c>
      <c r="Y89" s="11">
        <v>1641.4471668865635</v>
      </c>
      <c r="Z89" s="10">
        <v>5.4927786746557254</v>
      </c>
      <c r="AA89" s="10">
        <v>1.7595204046786945</v>
      </c>
      <c r="AB89" s="10">
        <v>1.7107525290479899</v>
      </c>
      <c r="AC89" s="10">
        <v>8.6418229980061767E-2</v>
      </c>
      <c r="AD89" s="10">
        <v>1.4077808648106598</v>
      </c>
      <c r="AE89" s="10">
        <v>0.8369113096491706</v>
      </c>
      <c r="AF89" s="10">
        <v>1.3849812437996963E-3</v>
      </c>
      <c r="AG89" s="11">
        <v>68.392084006775207</v>
      </c>
      <c r="AH89" s="11">
        <v>0.22052087854066094</v>
      </c>
      <c r="AI89" s="11">
        <v>0.34867971698366818</v>
      </c>
      <c r="AJ89" s="11">
        <v>3.1783088966831505E-2</v>
      </c>
      <c r="AK89" s="11">
        <v>0.13612885288116722</v>
      </c>
      <c r="AL89" s="11">
        <v>2.8074719827183868E-2</v>
      </c>
      <c r="AM89" s="11">
        <v>9.190898472005998E-3</v>
      </c>
      <c r="AN89" s="11">
        <v>5.004578926470276E-2</v>
      </c>
      <c r="AO89" s="11">
        <v>8.9355831264556797E-3</v>
      </c>
      <c r="AP89" s="11">
        <v>5.970328732719013E-2</v>
      </c>
      <c r="AQ89" s="11">
        <v>1.2759816379059801E-2</v>
      </c>
      <c r="AR89" s="11">
        <v>4.8112691314894901E-2</v>
      </c>
      <c r="AS89" s="11">
        <v>6.5095838197060845E-3</v>
      </c>
      <c r="AT89" s="11">
        <v>5.1127309151656114E-2</v>
      </c>
      <c r="AU89" s="11">
        <v>9.8696911187595333E-3</v>
      </c>
      <c r="AV89" s="10">
        <v>0.68395963014578287</v>
      </c>
      <c r="AW89" s="10">
        <v>1.7474976578909984</v>
      </c>
      <c r="AX89" s="10">
        <v>4.4371308674572242E-3</v>
      </c>
      <c r="AY89" s="10">
        <v>3.1143717112055075E-2</v>
      </c>
      <c r="AZ89" s="10">
        <v>10.783730623982807</v>
      </c>
      <c r="BA89" s="10">
        <v>9.7617346603978241</v>
      </c>
      <c r="BB89" s="11">
        <v>9.7678551135562479</v>
      </c>
      <c r="BC89" s="11">
        <v>0.15805087964910636</v>
      </c>
      <c r="BD89" s="11">
        <v>40.853758721367328</v>
      </c>
    </row>
    <row r="90" spans="1:56" x14ac:dyDescent="0.3">
      <c r="A90" s="1" t="s">
        <v>201</v>
      </c>
      <c r="B90" t="s">
        <v>57</v>
      </c>
      <c r="C90" s="10">
        <v>5340.4615337432997</v>
      </c>
      <c r="D90" s="11">
        <v>1208.5194595607543</v>
      </c>
      <c r="E90" s="10">
        <v>173.71347058060249</v>
      </c>
      <c r="F90" s="10">
        <v>199476.032213108</v>
      </c>
      <c r="G90" s="10">
        <v>123.09559711770905</v>
      </c>
      <c r="H90" s="10">
        <v>483570.1367542778</v>
      </c>
      <c r="I90" s="11">
        <v>472154.5467175988</v>
      </c>
      <c r="J90" s="10" t="s">
        <v>114</v>
      </c>
      <c r="K90" s="11">
        <v>47.148636074352154</v>
      </c>
      <c r="L90" s="11">
        <v>23.993334076190049</v>
      </c>
      <c r="M90" s="11">
        <v>3788.4005485331663</v>
      </c>
      <c r="N90" s="11">
        <v>3076.9037046940343</v>
      </c>
      <c r="O90" s="10">
        <v>3051.1415882113342</v>
      </c>
      <c r="P90" s="10">
        <v>78.124624556662454</v>
      </c>
      <c r="Q90" s="11">
        <v>63.597772464823208</v>
      </c>
      <c r="R90" s="11">
        <v>56.728378036835828</v>
      </c>
      <c r="S90" s="10">
        <v>57.224819285338469</v>
      </c>
      <c r="T90" s="11">
        <v>178.42285478471533</v>
      </c>
      <c r="U90" s="10">
        <v>175.85728204204634</v>
      </c>
      <c r="V90" s="10">
        <v>19.727623872755238</v>
      </c>
      <c r="W90" s="10" t="s">
        <v>114</v>
      </c>
      <c r="X90" s="10">
        <v>0.18653921492724551</v>
      </c>
      <c r="Y90" s="11">
        <v>1738.3826161936274</v>
      </c>
      <c r="Z90" s="10">
        <v>6.4053110315672104</v>
      </c>
      <c r="AA90" s="10">
        <v>3.0128178013444296</v>
      </c>
      <c r="AB90" s="10">
        <v>2.9482484292568829</v>
      </c>
      <c r="AC90" s="10">
        <v>0.10724096746595035</v>
      </c>
      <c r="AD90" s="10">
        <v>0.53943977272332411</v>
      </c>
      <c r="AE90" s="10">
        <v>1.3313571918776326</v>
      </c>
      <c r="AF90" s="10">
        <v>2.5097750007572121E-3</v>
      </c>
      <c r="AG90" s="11">
        <v>129.92115913086974</v>
      </c>
      <c r="AH90" s="11">
        <v>7.5221598505170267E-2</v>
      </c>
      <c r="AI90" s="11">
        <v>0.35714870131670912</v>
      </c>
      <c r="AJ90" s="11">
        <v>1.4190429886970468E-2</v>
      </c>
      <c r="AK90" s="11">
        <v>5.7537161008983935E-2</v>
      </c>
      <c r="AL90" s="11">
        <v>8.9215503271164957E-3</v>
      </c>
      <c r="AM90" s="11">
        <v>6.5777668430181367E-3</v>
      </c>
      <c r="AN90" s="11">
        <v>1.5865089347195726E-2</v>
      </c>
      <c r="AO90" s="11">
        <v>3.2306895103732212E-3</v>
      </c>
      <c r="AP90" s="11">
        <v>2.2199793291231888E-2</v>
      </c>
      <c r="AQ90" s="11">
        <v>5.8606328300598214E-3</v>
      </c>
      <c r="AR90" s="11">
        <v>2.7574814040394236E-2</v>
      </c>
      <c r="AS90" s="11">
        <v>4.407819689877056E-3</v>
      </c>
      <c r="AT90" s="11">
        <v>3.2824288083429305E-2</v>
      </c>
      <c r="AU90" s="11">
        <v>6.7882622560540952E-3</v>
      </c>
      <c r="AV90" s="10">
        <v>0.56848899655332785</v>
      </c>
      <c r="AW90" s="10">
        <v>1.8653107582606225</v>
      </c>
      <c r="AX90" s="10" t="s">
        <v>114</v>
      </c>
      <c r="AY90" s="10">
        <v>4.1468226754827468E-2</v>
      </c>
      <c r="AZ90" s="10">
        <v>12.267413566473714</v>
      </c>
      <c r="BA90" s="10">
        <v>10.902687489652759</v>
      </c>
      <c r="BB90" s="11">
        <v>10.941227876057857</v>
      </c>
      <c r="BC90" s="11">
        <v>0.12267165806623323</v>
      </c>
      <c r="BD90" s="11">
        <v>39.205472327194634</v>
      </c>
    </row>
    <row r="91" spans="1:56" x14ac:dyDescent="0.3">
      <c r="A91" s="1" t="s">
        <v>202</v>
      </c>
      <c r="B91" t="s">
        <v>57</v>
      </c>
      <c r="C91" s="10">
        <v>6774.7444033828615</v>
      </c>
      <c r="D91" s="11">
        <v>1526.996183526923</v>
      </c>
      <c r="E91" s="10">
        <v>589.87885237996886</v>
      </c>
      <c r="F91" s="10">
        <v>189395.37736178137</v>
      </c>
      <c r="G91" s="10">
        <v>131.86254550737092</v>
      </c>
      <c r="H91" s="10">
        <v>448509.39327366109</v>
      </c>
      <c r="I91" s="11">
        <v>442541.29068444972</v>
      </c>
      <c r="J91" s="10">
        <v>30.980893707753214</v>
      </c>
      <c r="K91" s="11">
        <v>119.81395041978259</v>
      </c>
      <c r="L91" s="11">
        <v>69.522091761499553</v>
      </c>
      <c r="M91" s="11">
        <v>1641.5656811008678</v>
      </c>
      <c r="N91" s="11">
        <v>20636.723874980486</v>
      </c>
      <c r="O91" s="10">
        <v>24418.198118113301</v>
      </c>
      <c r="P91" s="10">
        <v>34.588553455026478</v>
      </c>
      <c r="Q91" s="11">
        <v>45.067170956557419</v>
      </c>
      <c r="R91" s="11">
        <v>135.31903443531652</v>
      </c>
      <c r="S91" s="10">
        <v>136.17679639093677</v>
      </c>
      <c r="T91" s="11">
        <v>362.11960850651099</v>
      </c>
      <c r="U91" s="10">
        <v>353.52504834035369</v>
      </c>
      <c r="V91" s="10">
        <v>83.524692132100725</v>
      </c>
      <c r="W91" s="10" t="s">
        <v>114</v>
      </c>
      <c r="X91" s="10">
        <v>0.14272239651124638</v>
      </c>
      <c r="Y91" s="11">
        <v>1815.8218232181214</v>
      </c>
      <c r="Z91" s="10">
        <v>19.628885495502008</v>
      </c>
      <c r="AA91" s="10">
        <v>2.1453477454967511</v>
      </c>
      <c r="AB91" s="10">
        <v>2.1027212214508788</v>
      </c>
      <c r="AC91" s="10">
        <v>0.21365083862718659</v>
      </c>
      <c r="AD91" s="10">
        <v>0.61523199378403814</v>
      </c>
      <c r="AE91" s="10">
        <v>3.5173631081123076</v>
      </c>
      <c r="AF91" s="10">
        <v>1.3482487509890138E-3</v>
      </c>
      <c r="AG91" s="11">
        <v>89.733649296694338</v>
      </c>
      <c r="AH91" s="11">
        <v>1.8741155048238791</v>
      </c>
      <c r="AI91" s="11">
        <v>2.2688147552481581</v>
      </c>
      <c r="AJ91" s="11">
        <v>0.23293077415511901</v>
      </c>
      <c r="AK91" s="11">
        <v>1.064140962272117</v>
      </c>
      <c r="AL91" s="11">
        <v>0.1867365134104427</v>
      </c>
      <c r="AM91" s="11">
        <v>5.7907046712308452E-2</v>
      </c>
      <c r="AN91" s="11">
        <v>0.27713425106246065</v>
      </c>
      <c r="AO91" s="11">
        <v>5.5207905521822372E-2</v>
      </c>
      <c r="AP91" s="11">
        <v>0.45539099449144754</v>
      </c>
      <c r="AQ91" s="11">
        <v>0.12502208259933592</v>
      </c>
      <c r="AR91" s="11">
        <v>0.4392766532576855</v>
      </c>
      <c r="AS91" s="11">
        <v>7.2709722535670152E-2</v>
      </c>
      <c r="AT91" s="11">
        <v>0.53505705457868968</v>
      </c>
      <c r="AU91" s="11">
        <v>9.1950490320514028E-2</v>
      </c>
      <c r="AV91" s="10">
        <v>0.80246407555868215</v>
      </c>
      <c r="AW91" s="10">
        <v>2.0323147583865353</v>
      </c>
      <c r="AX91" s="10" t="s">
        <v>114</v>
      </c>
      <c r="AY91" s="10">
        <v>2.1737703697767074E-2</v>
      </c>
      <c r="AZ91" s="10">
        <v>61.229952845958607</v>
      </c>
      <c r="BA91" s="10">
        <v>55.375248255692682</v>
      </c>
      <c r="BB91" s="11">
        <v>54.989290637029221</v>
      </c>
      <c r="BC91" s="11">
        <v>0.17231156904375119</v>
      </c>
      <c r="BD91" s="11">
        <v>58.284959240045886</v>
      </c>
    </row>
    <row r="92" spans="1:56" x14ac:dyDescent="0.3">
      <c r="A92" s="1" t="s">
        <v>203</v>
      </c>
      <c r="B92" t="s">
        <v>57</v>
      </c>
      <c r="C92" s="10">
        <v>4740.4380590112214</v>
      </c>
      <c r="D92" s="11">
        <v>1457.3500793443359</v>
      </c>
      <c r="E92" s="10">
        <v>231.80929096596881</v>
      </c>
      <c r="F92" s="10">
        <v>204714.74403058735</v>
      </c>
      <c r="G92" s="10">
        <v>124.69256590747592</v>
      </c>
      <c r="H92" s="10">
        <v>483895.29333261307</v>
      </c>
      <c r="I92" s="11">
        <v>474438.22005560773</v>
      </c>
      <c r="J92" s="10">
        <v>4.0818699436485488</v>
      </c>
      <c r="K92" s="11">
        <v>16.027141772313488</v>
      </c>
      <c r="L92" s="11">
        <v>6.3048043543440953</v>
      </c>
      <c r="M92" s="11">
        <v>598.54771857151923</v>
      </c>
      <c r="N92" s="11">
        <v>1898.6559928426568</v>
      </c>
      <c r="O92" s="10">
        <v>1895.4029411681681</v>
      </c>
      <c r="P92" s="10">
        <v>5.0391886706435232</v>
      </c>
      <c r="Q92" s="11" t="s">
        <v>114</v>
      </c>
      <c r="R92" s="11">
        <v>22.910566721627614</v>
      </c>
      <c r="S92" s="10">
        <v>22.383531261135587</v>
      </c>
      <c r="T92" s="11">
        <v>134.60833339922848</v>
      </c>
      <c r="U92" s="10">
        <v>130.00648236803832</v>
      </c>
      <c r="V92" s="10">
        <v>14.453558916687296</v>
      </c>
      <c r="W92" s="10" t="s">
        <v>114</v>
      </c>
      <c r="X92" s="10">
        <v>0.36213134900209432</v>
      </c>
      <c r="Y92" s="11">
        <v>1595.2880589759116</v>
      </c>
      <c r="Z92" s="10">
        <v>6.8331647100616664</v>
      </c>
      <c r="AA92" s="10">
        <v>0.82720581303872165</v>
      </c>
      <c r="AB92" s="10">
        <v>0.80135268714803121</v>
      </c>
      <c r="AC92" s="10" t="s">
        <v>114</v>
      </c>
      <c r="AD92" s="10">
        <v>0.60469966226553229</v>
      </c>
      <c r="AE92" s="10">
        <v>0.92985758765068072</v>
      </c>
      <c r="AF92" s="10">
        <v>8.7444977449430555E-3</v>
      </c>
      <c r="AG92" s="11">
        <v>47.774789210869237</v>
      </c>
      <c r="AH92" s="11">
        <v>0.29626324675257742</v>
      </c>
      <c r="AI92" s="11">
        <v>0.56845927329517321</v>
      </c>
      <c r="AJ92" s="11">
        <v>5.9798542235667017E-2</v>
      </c>
      <c r="AK92" s="11">
        <v>0.27365919655522042</v>
      </c>
      <c r="AL92" s="11">
        <v>5.5003931051564016E-2</v>
      </c>
      <c r="AM92" s="11">
        <v>1.6183638489715855E-2</v>
      </c>
      <c r="AN92" s="11">
        <v>7.9853136774450356E-2</v>
      </c>
      <c r="AO92" s="11">
        <v>1.0052271649742357E-2</v>
      </c>
      <c r="AP92" s="11">
        <v>6.053886274640824E-2</v>
      </c>
      <c r="AQ92" s="11">
        <v>1.2331303052449047E-2</v>
      </c>
      <c r="AR92" s="11">
        <v>4.0025769084188201E-2</v>
      </c>
      <c r="AS92" s="11">
        <v>6.9362994287497119E-3</v>
      </c>
      <c r="AT92" s="11">
        <v>3.9155474753443546E-2</v>
      </c>
      <c r="AU92" s="11">
        <v>6.8892541684865962E-3</v>
      </c>
      <c r="AV92" s="10">
        <v>0.29138812259475483</v>
      </c>
      <c r="AW92" s="10">
        <v>1.2374203540072419</v>
      </c>
      <c r="AX92" s="10" t="s">
        <v>114</v>
      </c>
      <c r="AY92" s="10">
        <v>2.190107657817374E-2</v>
      </c>
      <c r="AZ92" s="10">
        <v>28.59176350250128</v>
      </c>
      <c r="BA92" s="10">
        <v>25.78057999450261</v>
      </c>
      <c r="BB92" s="11">
        <v>25.612659268974141</v>
      </c>
      <c r="BC92" s="11">
        <v>8.4928850121599397E-2</v>
      </c>
      <c r="BD92" s="11">
        <v>45.168100040898032</v>
      </c>
    </row>
    <row r="93" spans="1:56" x14ac:dyDescent="0.3">
      <c r="A93" s="1" t="s">
        <v>204</v>
      </c>
      <c r="B93" t="s">
        <v>57</v>
      </c>
      <c r="C93" s="10">
        <v>4671.7565015712789</v>
      </c>
      <c r="D93" s="11">
        <v>1306.5404456053773</v>
      </c>
      <c r="E93" s="10">
        <v>89.612252881589214</v>
      </c>
      <c r="F93" s="10">
        <v>171303.98960900513</v>
      </c>
      <c r="G93" s="10">
        <v>94.346752849117493</v>
      </c>
      <c r="H93" s="10">
        <v>414826.49600673618</v>
      </c>
      <c r="I93" s="11">
        <v>411751.36633928615</v>
      </c>
      <c r="J93" s="10" t="s">
        <v>114</v>
      </c>
      <c r="K93" s="11">
        <v>43.3497015776043</v>
      </c>
      <c r="L93" s="11">
        <v>14.729283465861261</v>
      </c>
      <c r="M93" s="11">
        <v>1979.6549923833109</v>
      </c>
      <c r="N93" s="11">
        <v>4197.9828308681954</v>
      </c>
      <c r="O93" s="10">
        <v>4158.2242247867753</v>
      </c>
      <c r="P93" s="10">
        <v>11.062060671020937</v>
      </c>
      <c r="Q93" s="11">
        <v>21.851686083408076</v>
      </c>
      <c r="R93" s="11">
        <v>26.763710491783225</v>
      </c>
      <c r="S93" s="10">
        <v>26.416343252175</v>
      </c>
      <c r="T93" s="11">
        <v>114.75277503766043</v>
      </c>
      <c r="U93" s="10">
        <v>114.79673574510596</v>
      </c>
      <c r="V93" s="10">
        <v>36.187050240861204</v>
      </c>
      <c r="W93" s="10" t="s">
        <v>114</v>
      </c>
      <c r="X93" s="10" t="s">
        <v>114</v>
      </c>
      <c r="Y93" s="11">
        <v>1790.1320020141245</v>
      </c>
      <c r="Z93" s="10">
        <v>9.2147710328767705</v>
      </c>
      <c r="AA93" s="10">
        <v>2.0364228360602752</v>
      </c>
      <c r="AB93" s="10">
        <v>2.2204528391872613</v>
      </c>
      <c r="AC93" s="10">
        <v>5.4595329797120763E-2</v>
      </c>
      <c r="AD93" s="10">
        <v>0.66455755553542706</v>
      </c>
      <c r="AE93" s="10">
        <v>1.8502556277942945</v>
      </c>
      <c r="AF93" s="10">
        <v>2.0791746781460676E-3</v>
      </c>
      <c r="AG93" s="11">
        <v>101.72409686726483</v>
      </c>
      <c r="AH93" s="11">
        <v>4.2101169488344858E-2</v>
      </c>
      <c r="AI93" s="11">
        <v>6.448112844312541E-2</v>
      </c>
      <c r="AJ93" s="11" t="s">
        <v>114</v>
      </c>
      <c r="AK93" s="11">
        <v>3.2625862992117269E-2</v>
      </c>
      <c r="AL93" s="11">
        <v>9.2260123831460709E-3</v>
      </c>
      <c r="AM93" s="11" t="s">
        <v>114</v>
      </c>
      <c r="AN93" s="11">
        <v>8.9943437850591567E-3</v>
      </c>
      <c r="AO93" s="11" t="s">
        <v>114</v>
      </c>
      <c r="AP93" s="11">
        <v>1.3757759130801307E-2</v>
      </c>
      <c r="AQ93" s="11" t="s">
        <v>114</v>
      </c>
      <c r="AR93" s="11" t="s">
        <v>114</v>
      </c>
      <c r="AS93" s="11">
        <v>3.6743910677689033E-3</v>
      </c>
      <c r="AT93" s="11">
        <v>2.0812211213965291E-2</v>
      </c>
      <c r="AU93" s="11">
        <v>2.4374499872766311E-3</v>
      </c>
      <c r="AV93" s="10">
        <v>0.47145237233712062</v>
      </c>
      <c r="AW93" s="10">
        <v>1.253159988488866</v>
      </c>
      <c r="AX93" s="10" t="s">
        <v>114</v>
      </c>
      <c r="AY93" s="10">
        <v>3.4367482755633783E-2</v>
      </c>
      <c r="AZ93" s="10">
        <v>20.494263060401174</v>
      </c>
      <c r="BA93" s="10">
        <v>18.66970821010996</v>
      </c>
      <c r="BB93" s="11">
        <v>18.524335761693845</v>
      </c>
      <c r="BC93" s="11" t="s">
        <v>114</v>
      </c>
      <c r="BD93" s="11">
        <v>47.435569648458021</v>
      </c>
    </row>
    <row r="94" spans="1:56" x14ac:dyDescent="0.3">
      <c r="A94" s="1" t="s">
        <v>205</v>
      </c>
      <c r="B94" t="s">
        <v>57</v>
      </c>
      <c r="C94" s="10">
        <v>5309.7501051193167</v>
      </c>
      <c r="D94" s="11">
        <v>1216.3395026195631</v>
      </c>
      <c r="E94" s="10">
        <v>56.243414157773721</v>
      </c>
      <c r="F94" s="10">
        <v>202556.8173250457</v>
      </c>
      <c r="G94" s="10">
        <v>86.455581733389593</v>
      </c>
      <c r="H94" s="10">
        <v>488538.83030655654</v>
      </c>
      <c r="I94" s="11">
        <v>481333.96029246622</v>
      </c>
      <c r="J94" s="10">
        <v>5.2037934139010451</v>
      </c>
      <c r="K94" s="11">
        <v>23.987956075675186</v>
      </c>
      <c r="L94" s="11">
        <v>5.8362803755340114</v>
      </c>
      <c r="M94" s="11">
        <v>884.96475277009233</v>
      </c>
      <c r="N94" s="11">
        <v>2111.6903929616315</v>
      </c>
      <c r="O94" s="10">
        <v>2096.1687276409666</v>
      </c>
      <c r="P94" s="10">
        <v>0.89462830835387197</v>
      </c>
      <c r="Q94" s="11" t="s">
        <v>114</v>
      </c>
      <c r="R94" s="11">
        <v>25.746257635195803</v>
      </c>
      <c r="S94" s="10">
        <v>25.520510404518362</v>
      </c>
      <c r="T94" s="11">
        <v>162.69551942658046</v>
      </c>
      <c r="U94" s="10">
        <v>157.63584749176127</v>
      </c>
      <c r="V94" s="10">
        <v>15.825651662048497</v>
      </c>
      <c r="W94" s="10" t="s">
        <v>114</v>
      </c>
      <c r="X94" s="10" t="s">
        <v>114</v>
      </c>
      <c r="Y94" s="11">
        <v>1765.5037681049646</v>
      </c>
      <c r="Z94" s="10">
        <v>9.9235576955075846</v>
      </c>
      <c r="AA94" s="10">
        <v>0.85641300134270781</v>
      </c>
      <c r="AB94" s="10">
        <v>0.87695496949323537</v>
      </c>
      <c r="AC94" s="10">
        <v>0.25342017270162359</v>
      </c>
      <c r="AD94" s="10">
        <v>0.53420003066787958</v>
      </c>
      <c r="AE94" s="10">
        <v>1.8151359495754469</v>
      </c>
      <c r="AF94" s="10">
        <v>2.6110899556294927E-4</v>
      </c>
      <c r="AG94" s="11">
        <v>63.488779936584862</v>
      </c>
      <c r="AH94" s="11">
        <v>0.87600167626628267</v>
      </c>
      <c r="AI94" s="11">
        <v>1.2359213265693225</v>
      </c>
      <c r="AJ94" s="11">
        <v>0.11693525202171266</v>
      </c>
      <c r="AK94" s="11">
        <v>0.5071932541971288</v>
      </c>
      <c r="AL94" s="11">
        <v>0.11953771193323026</v>
      </c>
      <c r="AM94" s="11">
        <v>2.9347361910464706E-2</v>
      </c>
      <c r="AN94" s="11">
        <v>0.14566524861554211</v>
      </c>
      <c r="AO94" s="11">
        <v>2.5226380648088222E-2</v>
      </c>
      <c r="AP94" s="11">
        <v>0.201620099917632</v>
      </c>
      <c r="AQ94" s="11">
        <v>6.037241187856221E-2</v>
      </c>
      <c r="AR94" s="11">
        <v>0.19667311549776501</v>
      </c>
      <c r="AS94" s="11">
        <v>3.2490537160318154E-2</v>
      </c>
      <c r="AT94" s="11">
        <v>0.22916690564049585</v>
      </c>
      <c r="AU94" s="11">
        <v>4.5765810169305261E-2</v>
      </c>
      <c r="AV94" s="10">
        <v>0.45101915579257335</v>
      </c>
      <c r="AW94" s="10">
        <v>0.81825646126971852</v>
      </c>
      <c r="AX94" s="10" t="s">
        <v>114</v>
      </c>
      <c r="AY94" s="10">
        <v>3.0713964745221613E-2</v>
      </c>
      <c r="AZ94" s="10">
        <v>40.876592361395211</v>
      </c>
      <c r="BA94" s="10">
        <v>37.170290744625348</v>
      </c>
      <c r="BB94" s="11">
        <v>36.783447018307591</v>
      </c>
      <c r="BC94" s="11" t="s">
        <v>114</v>
      </c>
      <c r="BD94" s="11">
        <v>62.073564222472825</v>
      </c>
    </row>
    <row r="95" spans="1:56" x14ac:dyDescent="0.3">
      <c r="A95" s="1" t="s">
        <v>206</v>
      </c>
      <c r="B95" t="s">
        <v>57</v>
      </c>
      <c r="C95" s="10">
        <v>4964.9912976345031</v>
      </c>
      <c r="D95" s="11">
        <v>1352.0796470421037</v>
      </c>
      <c r="E95" s="10">
        <v>176.01772958131517</v>
      </c>
      <c r="F95" s="10">
        <v>160924.5818683602</v>
      </c>
      <c r="G95" s="10">
        <v>113.73970324210401</v>
      </c>
      <c r="H95" s="10">
        <v>387232.5303737442</v>
      </c>
      <c r="I95" s="11">
        <v>382379.99846272258</v>
      </c>
      <c r="J95" s="10">
        <v>13.475174048494626</v>
      </c>
      <c r="K95" s="11">
        <v>75.492448861532111</v>
      </c>
      <c r="L95" s="11">
        <v>18.414605858574031</v>
      </c>
      <c r="M95" s="11">
        <v>1738.2538850586027</v>
      </c>
      <c r="N95" s="11">
        <v>7989.6174441585608</v>
      </c>
      <c r="O95" s="10">
        <v>7990.3280338147979</v>
      </c>
      <c r="P95" s="10">
        <v>19.152088840113922</v>
      </c>
      <c r="Q95" s="11">
        <v>35.280329690745788</v>
      </c>
      <c r="R95" s="11">
        <v>38.055085619945764</v>
      </c>
      <c r="S95" s="10">
        <v>38.307915005513472</v>
      </c>
      <c r="T95" s="11">
        <v>151.30802610113724</v>
      </c>
      <c r="U95" s="10">
        <v>147.84509349608896</v>
      </c>
      <c r="V95" s="10">
        <v>51.254649503260069</v>
      </c>
      <c r="W95" s="10" t="s">
        <v>114</v>
      </c>
      <c r="X95" s="10">
        <v>0.12590250717034962</v>
      </c>
      <c r="Y95" s="11">
        <v>1654.637944703916</v>
      </c>
      <c r="Z95" s="10">
        <v>6.2217945475392202</v>
      </c>
      <c r="AA95" s="10">
        <v>1.7544009608339408</v>
      </c>
      <c r="AB95" s="10">
        <v>1.8356674174559697</v>
      </c>
      <c r="AC95" s="10">
        <v>5.3244240166084332E-2</v>
      </c>
      <c r="AD95" s="10">
        <v>0.64754344710253509</v>
      </c>
      <c r="AE95" s="10">
        <v>1.8091760570379087</v>
      </c>
      <c r="AF95" s="10">
        <v>2.2785155355848166E-3</v>
      </c>
      <c r="AG95" s="11">
        <v>104.49780332362278</v>
      </c>
      <c r="AH95" s="11">
        <v>0.12723522527830033</v>
      </c>
      <c r="AI95" s="11">
        <v>0.22706327476289198</v>
      </c>
      <c r="AJ95" s="11">
        <v>2.2484085736904278E-2</v>
      </c>
      <c r="AK95" s="11">
        <v>0.11365929432458344</v>
      </c>
      <c r="AL95" s="11">
        <v>4.2228144384816341E-2</v>
      </c>
      <c r="AM95" s="11">
        <v>5.9137259388972463E-3</v>
      </c>
      <c r="AN95" s="11">
        <v>3.9115458759349256E-2</v>
      </c>
      <c r="AO95" s="11">
        <v>4.4443309044471628E-3</v>
      </c>
      <c r="AP95" s="11">
        <v>4.2707115885576012E-2</v>
      </c>
      <c r="AQ95" s="11">
        <v>9.9887743698321447E-3</v>
      </c>
      <c r="AR95" s="11">
        <v>4.6506252913166055E-2</v>
      </c>
      <c r="AS95" s="11">
        <v>5.9936446652469905E-3</v>
      </c>
      <c r="AT95" s="11">
        <v>5.5480104155742796E-2</v>
      </c>
      <c r="AU95" s="11">
        <v>7.7412340287422565E-3</v>
      </c>
      <c r="AV95" s="10">
        <v>0.24815314573512737</v>
      </c>
      <c r="AW95" s="10">
        <v>1.074772469294544</v>
      </c>
      <c r="AX95" s="10" t="s">
        <v>114</v>
      </c>
      <c r="AY95" s="10">
        <v>2.5775119389421553E-2</v>
      </c>
      <c r="AZ95" s="10">
        <v>281.27641726717371</v>
      </c>
      <c r="BA95" s="10">
        <v>252.88046636673235</v>
      </c>
      <c r="BB95" s="11">
        <v>251.40390514783391</v>
      </c>
      <c r="BC95" s="11" t="s">
        <v>114</v>
      </c>
      <c r="BD95" s="11">
        <v>37.240575924172418</v>
      </c>
    </row>
    <row r="96" spans="1:56" x14ac:dyDescent="0.3">
      <c r="A96" s="1" t="s">
        <v>207</v>
      </c>
      <c r="B96" t="s">
        <v>57</v>
      </c>
      <c r="C96" s="10">
        <v>565.87165425514138</v>
      </c>
      <c r="D96" s="11">
        <v>176.18655786648847</v>
      </c>
      <c r="E96" s="10">
        <v>15.857259148178683</v>
      </c>
      <c r="F96" s="10">
        <v>21593.840643855721</v>
      </c>
      <c r="G96" s="10">
        <v>9.6933922353363826</v>
      </c>
      <c r="H96" s="10">
        <v>52832.607300617929</v>
      </c>
      <c r="I96" s="11">
        <v>52342.676043227861</v>
      </c>
      <c r="J96" s="10">
        <v>1.0242790680774081</v>
      </c>
      <c r="K96" s="11">
        <v>6.0755284386180914</v>
      </c>
      <c r="L96" s="11">
        <v>1.2038732794617875</v>
      </c>
      <c r="M96" s="11">
        <v>27.145198128219867</v>
      </c>
      <c r="N96" s="11">
        <v>614.56440617196711</v>
      </c>
      <c r="O96" s="10">
        <v>609.3816428472885</v>
      </c>
      <c r="P96" s="10">
        <v>0.50151453294195236</v>
      </c>
      <c r="Q96" s="11">
        <v>1.1293633917724504</v>
      </c>
      <c r="R96" s="11">
        <v>2.1288682717329523</v>
      </c>
      <c r="S96" s="10">
        <v>2.0989291258839287</v>
      </c>
      <c r="T96" s="11">
        <v>13.806662592038229</v>
      </c>
      <c r="U96" s="10">
        <v>13.553799512640568</v>
      </c>
      <c r="V96" s="10">
        <v>5.0357003639212206</v>
      </c>
      <c r="W96" s="10" t="s">
        <v>114</v>
      </c>
      <c r="X96" s="10" t="s">
        <v>114</v>
      </c>
      <c r="Y96" s="11">
        <v>215.28990199434207</v>
      </c>
      <c r="Z96" s="10">
        <v>1.0192859605428228</v>
      </c>
      <c r="AA96" s="10">
        <v>1.0836865218138352</v>
      </c>
      <c r="AB96" s="10">
        <v>1.0999114820881841</v>
      </c>
      <c r="AC96" s="10" t="s">
        <v>114</v>
      </c>
      <c r="AD96" s="10">
        <v>4.8885936820602882E-2</v>
      </c>
      <c r="AE96" s="10">
        <v>0.18913179082126969</v>
      </c>
      <c r="AF96" s="10">
        <v>1.6462658541877549E-4</v>
      </c>
      <c r="AG96" s="11">
        <v>7.2948059203761932</v>
      </c>
      <c r="AH96" s="11">
        <v>1.9037182165482103E-2</v>
      </c>
      <c r="AI96" s="11">
        <v>4.3465511408140402E-2</v>
      </c>
      <c r="AJ96" s="11">
        <v>3.7565981226304794E-3</v>
      </c>
      <c r="AK96" s="11">
        <v>1.7793119415285084E-2</v>
      </c>
      <c r="AL96" s="11">
        <v>1.9559780194969845E-3</v>
      </c>
      <c r="AM96" s="11">
        <v>1.237112234236821E-3</v>
      </c>
      <c r="AN96" s="11">
        <v>5.1958902678893824E-3</v>
      </c>
      <c r="AO96" s="11">
        <v>7.7504263176858264E-4</v>
      </c>
      <c r="AP96" s="11">
        <v>5.8441179549652434E-3</v>
      </c>
      <c r="AQ96" s="11">
        <v>1.5120297922021117E-3</v>
      </c>
      <c r="AR96" s="11">
        <v>5.3399502570143425E-3</v>
      </c>
      <c r="AS96" s="11">
        <v>7.0328267738933436E-4</v>
      </c>
      <c r="AT96" s="11">
        <v>6.3327788147646905E-3</v>
      </c>
      <c r="AU96" s="11">
        <v>1.0812360658139833E-3</v>
      </c>
      <c r="AV96" s="10">
        <v>2.5398379848453344E-2</v>
      </c>
      <c r="AW96" s="10">
        <v>8.711271582538363E-2</v>
      </c>
      <c r="AX96" s="10" t="s">
        <v>114</v>
      </c>
      <c r="AY96" s="10">
        <v>2.3176342890817263E-3</v>
      </c>
      <c r="AZ96" s="10">
        <v>0.80045927867501643</v>
      </c>
      <c r="BA96" s="10">
        <v>0.72585048164114419</v>
      </c>
      <c r="BB96" s="11">
        <v>0.71758919127458931</v>
      </c>
      <c r="BC96" s="11" t="s">
        <v>114</v>
      </c>
      <c r="BD96" s="11">
        <v>6.3146774144496316</v>
      </c>
    </row>
    <row r="97" spans="1:56" x14ac:dyDescent="0.3">
      <c r="A97" s="1" t="s">
        <v>208</v>
      </c>
      <c r="B97" t="s">
        <v>57</v>
      </c>
      <c r="C97" s="10">
        <v>4976.8820048104471</v>
      </c>
      <c r="D97" s="11">
        <v>1425.8002322436143</v>
      </c>
      <c r="E97" s="10">
        <v>229.94520920653397</v>
      </c>
      <c r="F97" s="10">
        <v>171823.61855394018</v>
      </c>
      <c r="G97" s="10">
        <v>109.76446155403023</v>
      </c>
      <c r="H97" s="10">
        <v>422122.48457781703</v>
      </c>
      <c r="I97" s="11">
        <v>416686.10660312377</v>
      </c>
      <c r="J97" s="10">
        <v>4.6186069091096815</v>
      </c>
      <c r="K97" s="11">
        <v>109.36162217700961</v>
      </c>
      <c r="L97" s="11">
        <v>14.727222747111592</v>
      </c>
      <c r="M97" s="11">
        <v>3993.5102482906464</v>
      </c>
      <c r="N97" s="11">
        <v>18063.215181493673</v>
      </c>
      <c r="O97" s="10">
        <v>21176.011790432742</v>
      </c>
      <c r="P97" s="10">
        <v>85.776161391574277</v>
      </c>
      <c r="Q97" s="11">
        <v>124.42434926426517</v>
      </c>
      <c r="R97" s="11">
        <v>54.152211030119886</v>
      </c>
      <c r="S97" s="10">
        <v>53.242505410093152</v>
      </c>
      <c r="T97" s="11">
        <v>183.19401940203971</v>
      </c>
      <c r="U97" s="10">
        <v>180.06601338054503</v>
      </c>
      <c r="V97" s="10">
        <v>246.93718398999633</v>
      </c>
      <c r="W97" s="10">
        <v>13.961177715743288</v>
      </c>
      <c r="X97" s="10">
        <v>0.13230530294439946</v>
      </c>
      <c r="Y97" s="11">
        <v>1819.8228473897959</v>
      </c>
      <c r="Z97" s="10">
        <v>10.689676173322074</v>
      </c>
      <c r="AA97" s="10">
        <v>6.3748711939636546</v>
      </c>
      <c r="AB97" s="10">
        <v>6.4670843574496386</v>
      </c>
      <c r="AC97" s="10">
        <v>7.3874948574382246E-2</v>
      </c>
      <c r="AD97" s="10">
        <v>0.46688702312621666</v>
      </c>
      <c r="AE97" s="10">
        <v>3.378720559343404</v>
      </c>
      <c r="AF97" s="10">
        <v>3.1112629142647148E-3</v>
      </c>
      <c r="AG97" s="11">
        <v>182.39372381323119</v>
      </c>
      <c r="AH97" s="11">
        <v>0.29976813852347051</v>
      </c>
      <c r="AI97" s="11">
        <v>0.51858192338497688</v>
      </c>
      <c r="AJ97" s="11">
        <v>4.6032504633267204E-2</v>
      </c>
      <c r="AK97" s="11">
        <v>0.17245693506081289</v>
      </c>
      <c r="AL97" s="11">
        <v>4.1299568647093804E-2</v>
      </c>
      <c r="AM97" s="11">
        <v>1.3919907287081049E-2</v>
      </c>
      <c r="AN97" s="11">
        <v>5.6640081951968672E-2</v>
      </c>
      <c r="AO97" s="11">
        <v>1.2357839909184558E-2</v>
      </c>
      <c r="AP97" s="11">
        <v>7.6926741849752359E-2</v>
      </c>
      <c r="AQ97" s="11">
        <v>2.1027344660079605E-2</v>
      </c>
      <c r="AR97" s="11">
        <v>7.2570047824033757E-2</v>
      </c>
      <c r="AS97" s="11">
        <v>1.2659135126660791E-2</v>
      </c>
      <c r="AT97" s="11">
        <v>9.4672557906804775E-2</v>
      </c>
      <c r="AU97" s="11">
        <v>1.6367205491103282E-2</v>
      </c>
      <c r="AV97" s="10">
        <v>0.27652978273606599</v>
      </c>
      <c r="AW97" s="10">
        <v>1.4850982390190701</v>
      </c>
      <c r="AX97" s="10" t="s">
        <v>114</v>
      </c>
      <c r="AY97" s="10">
        <v>4.2397062500949906E-2</v>
      </c>
      <c r="AZ97" s="10">
        <v>178.96239518421243</v>
      </c>
      <c r="BA97" s="10">
        <v>161.11053701966441</v>
      </c>
      <c r="BB97" s="11">
        <v>160.10433716737711</v>
      </c>
      <c r="BC97" s="11" t="s">
        <v>114</v>
      </c>
      <c r="BD97" s="11">
        <v>45.273893939149012</v>
      </c>
    </row>
    <row r="98" spans="1:56" x14ac:dyDescent="0.3">
      <c r="A98" t="s">
        <v>209</v>
      </c>
      <c r="B98" t="s">
        <v>59</v>
      </c>
      <c r="C98" s="10">
        <v>9892.9845154063805</v>
      </c>
      <c r="D98" s="11">
        <v>2289.9599703065946</v>
      </c>
      <c r="E98" s="10"/>
      <c r="F98" s="10">
        <v>120384.22911796292</v>
      </c>
      <c r="G98" s="10"/>
      <c r="H98" s="10">
        <v>256778.31082658985</v>
      </c>
      <c r="I98" s="11">
        <v>235590.23929732674</v>
      </c>
      <c r="J98" s="10"/>
      <c r="K98" s="11">
        <v>1.0026712049708495</v>
      </c>
      <c r="L98" s="11"/>
      <c r="M98" s="11">
        <v>45.179529053055887</v>
      </c>
      <c r="N98" s="11">
        <v>228.33341810303415</v>
      </c>
      <c r="O98" s="10">
        <v>235.38363046555548</v>
      </c>
      <c r="P98" s="10"/>
      <c r="Q98" s="11"/>
      <c r="R98" s="11"/>
      <c r="S98" s="10"/>
      <c r="T98" s="11"/>
      <c r="U98" s="10"/>
      <c r="V98" s="10"/>
      <c r="W98" s="10"/>
      <c r="X98" s="10">
        <v>0.8530301113052462</v>
      </c>
      <c r="Y98" s="11">
        <v>211.10184537125474</v>
      </c>
      <c r="Z98" s="10"/>
      <c r="AA98" s="10"/>
      <c r="AB98" s="10"/>
      <c r="AC98" s="10"/>
      <c r="AD98" s="10"/>
      <c r="AE98" s="10"/>
      <c r="AF98" s="10"/>
      <c r="AG98" s="11">
        <v>40.673744056081041</v>
      </c>
      <c r="AH98" s="11"/>
      <c r="AI98" s="11">
        <v>0.69327440693698261</v>
      </c>
      <c r="AJ98" s="11">
        <v>8.0037558365834108E-2</v>
      </c>
      <c r="AK98" s="11">
        <v>0.34676616402956689</v>
      </c>
      <c r="AL98" s="11">
        <v>5.5051934569521822E-2</v>
      </c>
      <c r="AM98" s="11">
        <v>1.5261692842659312E-2</v>
      </c>
      <c r="AN98" s="11">
        <v>5.7891883782439757E-2</v>
      </c>
      <c r="AO98" s="11">
        <v>1.3017282775404114E-2</v>
      </c>
      <c r="AP98" s="11">
        <v>6.1728962010340199E-2</v>
      </c>
      <c r="AQ98" s="11">
        <v>1.3641628664793936E-2</v>
      </c>
      <c r="AR98" s="11">
        <v>3.1182691879726415E-2</v>
      </c>
      <c r="AS98" s="11">
        <v>4.9374560974433223E-3</v>
      </c>
      <c r="AT98" s="11">
        <v>2.6102423346978605E-2</v>
      </c>
      <c r="AU98" s="11">
        <v>3.6903356753644882E-3</v>
      </c>
      <c r="AV98" s="10"/>
      <c r="AW98" s="10"/>
      <c r="AX98" s="10"/>
      <c r="AY98" s="10"/>
      <c r="AZ98" s="10">
        <v>3.3899818965488402</v>
      </c>
      <c r="BA98" s="10">
        <v>3.1130952048468559</v>
      </c>
      <c r="BB98" s="11">
        <v>3.0982961741339765</v>
      </c>
      <c r="BC98" s="11"/>
      <c r="BD98" s="11">
        <v>0.9864799766570439</v>
      </c>
    </row>
    <row r="99" spans="1:56" x14ac:dyDescent="0.3">
      <c r="A99" t="s">
        <v>210</v>
      </c>
      <c r="B99" t="s">
        <v>59</v>
      </c>
      <c r="C99" s="10">
        <v>10230.196806455744</v>
      </c>
      <c r="D99" s="11">
        <v>2259.5406024755694</v>
      </c>
      <c r="E99" s="10"/>
      <c r="F99" s="10">
        <v>137719.67489201148</v>
      </c>
      <c r="G99" s="10"/>
      <c r="H99" s="10">
        <v>292803.25291708711</v>
      </c>
      <c r="I99" s="11">
        <v>270875.24171824008</v>
      </c>
      <c r="J99" s="10"/>
      <c r="K99" s="11">
        <v>1.0838647896674856</v>
      </c>
      <c r="L99" s="11"/>
      <c r="M99" s="11">
        <v>16.354108700239959</v>
      </c>
      <c r="N99" s="11">
        <v>226.75884575517077</v>
      </c>
      <c r="O99" s="10">
        <v>233.49747642293497</v>
      </c>
      <c r="P99" s="10"/>
      <c r="Q99" s="11"/>
      <c r="R99" s="11"/>
      <c r="S99" s="10"/>
      <c r="T99" s="11"/>
      <c r="U99" s="10"/>
      <c r="V99" s="10"/>
      <c r="W99" s="10"/>
      <c r="X99" s="10">
        <v>0.76033095533173944</v>
      </c>
      <c r="Y99" s="11">
        <v>197.91726008145858</v>
      </c>
      <c r="Z99" s="10"/>
      <c r="AA99" s="10"/>
      <c r="AB99" s="10"/>
      <c r="AC99" s="10"/>
      <c r="AD99" s="10"/>
      <c r="AE99" s="10"/>
      <c r="AF99" s="10"/>
      <c r="AG99" s="11">
        <v>39.932212269348526</v>
      </c>
      <c r="AH99" s="11"/>
      <c r="AI99" s="11">
        <v>0.92591569079527303</v>
      </c>
      <c r="AJ99" s="11">
        <v>9.7376538919140526E-2</v>
      </c>
      <c r="AK99" s="11">
        <v>0.43670540355528564</v>
      </c>
      <c r="AL99" s="11">
        <v>9.5182915495148943E-2</v>
      </c>
      <c r="AM99" s="11">
        <v>2.1312283246991977E-2</v>
      </c>
      <c r="AN99" s="11">
        <v>8.9506440717477917E-2</v>
      </c>
      <c r="AO99" s="11">
        <v>1.6405293095273946E-2</v>
      </c>
      <c r="AP99" s="11">
        <v>7.4153470596517709E-2</v>
      </c>
      <c r="AQ99" s="11">
        <v>1.8323869684586078E-2</v>
      </c>
      <c r="AR99" s="11">
        <v>4.7389117548005608E-2</v>
      </c>
      <c r="AS99" s="11">
        <v>6.5933479945002472E-3</v>
      </c>
      <c r="AT99" s="11">
        <v>2.9952448461802447E-2</v>
      </c>
      <c r="AU99" s="11">
        <v>5.4064593094272336E-3</v>
      </c>
      <c r="AV99" s="10"/>
      <c r="AW99" s="10"/>
      <c r="AX99" s="10"/>
      <c r="AY99" s="10"/>
      <c r="AZ99" s="10">
        <v>2.3038251844094346</v>
      </c>
      <c r="BA99" s="10">
        <v>2.1263819441112224</v>
      </c>
      <c r="BB99" s="11">
        <v>2.13621405630095</v>
      </c>
      <c r="BC99" s="11"/>
      <c r="BD99" s="11">
        <v>1.0954302767046982</v>
      </c>
    </row>
    <row r="100" spans="1:56" x14ac:dyDescent="0.3">
      <c r="A100" t="s">
        <v>211</v>
      </c>
      <c r="B100" t="s">
        <v>59</v>
      </c>
      <c r="C100" s="10">
        <v>9819.3170180470406</v>
      </c>
      <c r="D100" s="11">
        <v>2529.3056472237568</v>
      </c>
      <c r="E100" s="10"/>
      <c r="F100" s="10">
        <v>149247.65950797615</v>
      </c>
      <c r="G100" s="10"/>
      <c r="H100" s="10">
        <v>317769.93389190274</v>
      </c>
      <c r="I100" s="11">
        <v>293404.14749279409</v>
      </c>
      <c r="J100" s="10"/>
      <c r="K100" s="11">
        <v>2.7701348066854803</v>
      </c>
      <c r="L100" s="11"/>
      <c r="M100" s="11">
        <v>35.385522726747361</v>
      </c>
      <c r="N100" s="11">
        <v>308.16989467156458</v>
      </c>
      <c r="O100" s="10">
        <v>325.86808137023729</v>
      </c>
      <c r="P100" s="10"/>
      <c r="Q100" s="11"/>
      <c r="R100" s="11"/>
      <c r="S100" s="10"/>
      <c r="T100" s="11"/>
      <c r="U100" s="10"/>
      <c r="V100" s="10"/>
      <c r="W100" s="10"/>
      <c r="X100" s="10">
        <v>0.95869313013172286</v>
      </c>
      <c r="Y100" s="11">
        <v>294.67673572736902</v>
      </c>
      <c r="Z100" s="10"/>
      <c r="AA100" s="10"/>
      <c r="AB100" s="10"/>
      <c r="AC100" s="10"/>
      <c r="AD100" s="10"/>
      <c r="AE100" s="10"/>
      <c r="AF100" s="10"/>
      <c r="AG100" s="11">
        <v>47.793598135002</v>
      </c>
      <c r="AH100" s="11"/>
      <c r="AI100" s="11">
        <v>1.582752518880121</v>
      </c>
      <c r="AJ100" s="11">
        <v>0.1704189953060285</v>
      </c>
      <c r="AK100" s="11">
        <v>0.78032842859449636</v>
      </c>
      <c r="AL100" s="11">
        <v>0.13230281976020114</v>
      </c>
      <c r="AM100" s="11">
        <v>3.879749200184255E-2</v>
      </c>
      <c r="AN100" s="11">
        <v>0.15032908850390977</v>
      </c>
      <c r="AO100" s="11">
        <v>2.8710050907318943E-2</v>
      </c>
      <c r="AP100" s="11">
        <v>0.15013809842627232</v>
      </c>
      <c r="AQ100" s="11">
        <v>3.4255333212204073E-2</v>
      </c>
      <c r="AR100" s="11">
        <v>8.9434389666724012E-2</v>
      </c>
      <c r="AS100" s="11">
        <v>1.064328671321013E-2</v>
      </c>
      <c r="AT100" s="11">
        <v>7.5996402454313453E-2</v>
      </c>
      <c r="AU100" s="11">
        <v>9.9654207954364762E-3</v>
      </c>
      <c r="AV100" s="10"/>
      <c r="AW100" s="10"/>
      <c r="AX100" s="10"/>
      <c r="AY100" s="10"/>
      <c r="AZ100" s="10">
        <v>3.1774695475287347</v>
      </c>
      <c r="BA100" s="10">
        <v>2.8918574489517814</v>
      </c>
      <c r="BB100" s="11">
        <v>2.9242511342714899</v>
      </c>
      <c r="BC100" s="11"/>
      <c r="BD100" s="11">
        <v>3.0673717514987344</v>
      </c>
    </row>
    <row r="101" spans="1:56" x14ac:dyDescent="0.3">
      <c r="A101" t="s">
        <v>212</v>
      </c>
      <c r="B101" t="s">
        <v>59</v>
      </c>
      <c r="C101" s="10">
        <v>10064.793314608549</v>
      </c>
      <c r="D101" s="11">
        <v>2953.2566282499706</v>
      </c>
      <c r="E101" s="10"/>
      <c r="F101" s="10">
        <v>176031.7250830358</v>
      </c>
      <c r="G101" s="10"/>
      <c r="H101" s="10">
        <v>372463.91733614972</v>
      </c>
      <c r="I101" s="11">
        <v>344539.43876003742</v>
      </c>
      <c r="J101" s="10"/>
      <c r="K101" s="11">
        <v>0.61118235021175049</v>
      </c>
      <c r="L101" s="11"/>
      <c r="M101" s="11">
        <v>8.9773464694916854</v>
      </c>
      <c r="N101" s="11">
        <v>240.180892889701</v>
      </c>
      <c r="O101" s="10">
        <v>248.98550796196616</v>
      </c>
      <c r="P101" s="10"/>
      <c r="Q101" s="11"/>
      <c r="R101" s="11"/>
      <c r="S101" s="10"/>
      <c r="T101" s="11"/>
      <c r="U101" s="10"/>
      <c r="V101" s="10"/>
      <c r="W101" s="10"/>
      <c r="X101" s="10">
        <v>0.8703850654367199</v>
      </c>
      <c r="Y101" s="11">
        <v>229.57123546124868</v>
      </c>
      <c r="Z101" s="10"/>
      <c r="AA101" s="10"/>
      <c r="AB101" s="10"/>
      <c r="AC101" s="10"/>
      <c r="AD101" s="10"/>
      <c r="AE101" s="10"/>
      <c r="AF101" s="10"/>
      <c r="AG101" s="11">
        <v>42.630237930740329</v>
      </c>
      <c r="AH101" s="11"/>
      <c r="AI101" s="11">
        <v>1.2844170624180904</v>
      </c>
      <c r="AJ101" s="11">
        <v>0.13789781953911009</v>
      </c>
      <c r="AK101" s="11">
        <v>0.65155483766405153</v>
      </c>
      <c r="AL101" s="11">
        <v>0.14839918695303442</v>
      </c>
      <c r="AM101" s="11">
        <v>2.8414364191127965E-2</v>
      </c>
      <c r="AN101" s="11">
        <v>0.12771889900691799</v>
      </c>
      <c r="AO101" s="11">
        <v>2.4095899432369471E-2</v>
      </c>
      <c r="AP101" s="11">
        <v>0.12494596982110774</v>
      </c>
      <c r="AQ101" s="11">
        <v>2.1269502265523599E-2</v>
      </c>
      <c r="AR101" s="11">
        <v>6.6812464356581461E-2</v>
      </c>
      <c r="AS101" s="11">
        <v>8.4226870608439513E-3</v>
      </c>
      <c r="AT101" s="11">
        <v>5.0399120983285306E-2</v>
      </c>
      <c r="AU101" s="11">
        <v>7.0568815440594295E-3</v>
      </c>
      <c r="AV101" s="10"/>
      <c r="AW101" s="10"/>
      <c r="AX101" s="10"/>
      <c r="AY101" s="10"/>
      <c r="AZ101" s="10">
        <v>5.8249496641980851</v>
      </c>
      <c r="BA101" s="10">
        <v>5.298099819135853</v>
      </c>
      <c r="BB101" s="11">
        <v>5.3326680176082037</v>
      </c>
      <c r="BC101" s="11"/>
      <c r="BD101" s="11">
        <v>0.2550873967520183</v>
      </c>
    </row>
    <row r="102" spans="1:56" x14ac:dyDescent="0.3">
      <c r="A102" t="s">
        <v>213</v>
      </c>
      <c r="B102" t="s">
        <v>59</v>
      </c>
      <c r="C102" s="10">
        <v>11667.109164352098</v>
      </c>
      <c r="D102" s="11">
        <v>2412.4674409190338</v>
      </c>
      <c r="E102" s="10"/>
      <c r="F102" s="10">
        <v>139840.34948291074</v>
      </c>
      <c r="G102" s="10"/>
      <c r="H102" s="10">
        <v>298985.39096456714</v>
      </c>
      <c r="I102" s="11">
        <v>277212.55647509499</v>
      </c>
      <c r="J102" s="10"/>
      <c r="K102" s="11">
        <v>1.9919013819409686</v>
      </c>
      <c r="L102" s="11"/>
      <c r="M102" s="11">
        <v>71.106987762278067</v>
      </c>
      <c r="N102" s="11">
        <v>331.41305615470463</v>
      </c>
      <c r="O102" s="10">
        <v>342.11028054926072</v>
      </c>
      <c r="P102" s="10"/>
      <c r="Q102" s="11"/>
      <c r="R102" s="11"/>
      <c r="S102" s="10"/>
      <c r="T102" s="11"/>
      <c r="U102" s="10"/>
      <c r="V102" s="10"/>
      <c r="W102" s="10"/>
      <c r="X102" s="10">
        <v>1.0362066807714605</v>
      </c>
      <c r="Y102" s="11">
        <v>216.26696049977403</v>
      </c>
      <c r="Z102" s="10"/>
      <c r="AA102" s="10"/>
      <c r="AB102" s="10"/>
      <c r="AC102" s="10"/>
      <c r="AD102" s="10"/>
      <c r="AE102" s="10"/>
      <c r="AF102" s="10"/>
      <c r="AG102" s="11">
        <v>52.190055240507206</v>
      </c>
      <c r="AH102" s="11"/>
      <c r="AI102" s="11">
        <v>3.8514923359745543</v>
      </c>
      <c r="AJ102" s="11">
        <v>0.38267808652666946</v>
      </c>
      <c r="AK102" s="11">
        <v>1.7663942372390711</v>
      </c>
      <c r="AL102" s="11">
        <v>0.37583806919683621</v>
      </c>
      <c r="AM102" s="11">
        <v>8.0612252988519775E-2</v>
      </c>
      <c r="AN102" s="11">
        <v>0.37763038610084776</v>
      </c>
      <c r="AO102" s="11">
        <v>6.253905915457704E-2</v>
      </c>
      <c r="AP102" s="11">
        <v>0.3614425481438916</v>
      </c>
      <c r="AQ102" s="11">
        <v>7.2932179902722466E-2</v>
      </c>
      <c r="AR102" s="11">
        <v>0.22388555044678304</v>
      </c>
      <c r="AS102" s="11">
        <v>2.9212307782393605E-2</v>
      </c>
      <c r="AT102" s="11">
        <v>0.16588443760656774</v>
      </c>
      <c r="AU102" s="11">
        <v>2.4867174537553785E-2</v>
      </c>
      <c r="AV102" s="10"/>
      <c r="AW102" s="10"/>
      <c r="AX102" s="10"/>
      <c r="AY102" s="10"/>
      <c r="AZ102" s="10">
        <v>5.3265123044541012</v>
      </c>
      <c r="BA102" s="10">
        <v>4.8678014092604913</v>
      </c>
      <c r="BB102" s="11">
        <v>4.8850731975048847</v>
      </c>
      <c r="BC102" s="11"/>
      <c r="BD102" s="11">
        <v>1.5932299949732589</v>
      </c>
    </row>
    <row r="103" spans="1:56" s="2" customFormat="1" x14ac:dyDescent="0.3">
      <c r="A103" t="s">
        <v>214</v>
      </c>
      <c r="B103" t="s">
        <v>59</v>
      </c>
      <c r="C103" s="10">
        <v>11415.00413886069</v>
      </c>
      <c r="D103" s="11">
        <v>3106.6530228271158</v>
      </c>
      <c r="E103" s="10"/>
      <c r="F103" s="10">
        <v>152887.2502762237</v>
      </c>
      <c r="G103" s="10"/>
      <c r="H103" s="10">
        <v>327703.04128274118</v>
      </c>
      <c r="I103" s="11">
        <v>303071.0735664597</v>
      </c>
      <c r="J103" s="10"/>
      <c r="K103" s="11">
        <v>2.123935872287587</v>
      </c>
      <c r="L103" s="11"/>
      <c r="M103" s="11">
        <v>89.838546186331413</v>
      </c>
      <c r="N103" s="11">
        <v>284.64193117948247</v>
      </c>
      <c r="O103" s="10">
        <v>282.30931737389909</v>
      </c>
      <c r="P103" s="10"/>
      <c r="Q103" s="11"/>
      <c r="R103" s="11"/>
      <c r="S103" s="10"/>
      <c r="T103" s="11"/>
      <c r="U103" s="10"/>
      <c r="V103" s="10"/>
      <c r="W103" s="10"/>
      <c r="X103" s="10">
        <v>0.66940602269068661</v>
      </c>
      <c r="Y103" s="11">
        <v>462.07384628106661</v>
      </c>
      <c r="Z103" s="10"/>
      <c r="AA103" s="10"/>
      <c r="AB103" s="10"/>
      <c r="AC103" s="10"/>
      <c r="AD103" s="10"/>
      <c r="AE103" s="10"/>
      <c r="AF103" s="10"/>
      <c r="AG103" s="11">
        <v>51.633231167569562</v>
      </c>
      <c r="AH103" s="11"/>
      <c r="AI103" s="11">
        <v>1.2906734662580428</v>
      </c>
      <c r="AJ103" s="11">
        <v>0.13190173970653138</v>
      </c>
      <c r="AK103" s="11">
        <v>0.63614888678521941</v>
      </c>
      <c r="AL103" s="11">
        <v>0.12508454350871143</v>
      </c>
      <c r="AM103" s="11">
        <v>3.1917211466540474E-2</v>
      </c>
      <c r="AN103" s="11">
        <v>0.11186578109238697</v>
      </c>
      <c r="AO103" s="11">
        <v>2.0553206917999545E-2</v>
      </c>
      <c r="AP103" s="11">
        <v>0.12819794186831662</v>
      </c>
      <c r="AQ103" s="11">
        <v>2.7669568857505142E-2</v>
      </c>
      <c r="AR103" s="11">
        <v>7.8939243418477925E-2</v>
      </c>
      <c r="AS103" s="11">
        <v>1.0852715200729206E-2</v>
      </c>
      <c r="AT103" s="11">
        <v>5.816395828214458E-2</v>
      </c>
      <c r="AU103" s="11">
        <v>8.6680941435736455E-3</v>
      </c>
      <c r="AV103" s="10"/>
      <c r="AW103" s="10"/>
      <c r="AX103" s="10"/>
      <c r="AY103" s="10"/>
      <c r="AZ103" s="10">
        <v>7.3287582163282741</v>
      </c>
      <c r="BA103" s="10">
        <v>6.528068561648471</v>
      </c>
      <c r="BB103" s="11">
        <v>6.6629293128505998</v>
      </c>
      <c r="BC103" s="11"/>
      <c r="BD103" s="11">
        <v>5.5207023469261909</v>
      </c>
    </row>
    <row r="104" spans="1:56" s="2" customFormat="1" x14ac:dyDescent="0.3">
      <c r="A104" t="s">
        <v>215</v>
      </c>
      <c r="B104" t="s">
        <v>59</v>
      </c>
      <c r="C104" s="10">
        <v>10364.615896425194</v>
      </c>
      <c r="D104" s="11">
        <v>3145.6833973071775</v>
      </c>
      <c r="E104" s="10"/>
      <c r="F104" s="10">
        <v>155933.69929984253</v>
      </c>
      <c r="G104" s="10"/>
      <c r="H104" s="10">
        <v>332727.76176268607</v>
      </c>
      <c r="I104" s="11">
        <v>306453.90211692546</v>
      </c>
      <c r="J104" s="10"/>
      <c r="K104" s="11">
        <v>2.0402770276622224</v>
      </c>
      <c r="L104" s="11"/>
      <c r="M104" s="11">
        <v>116.14062804442257</v>
      </c>
      <c r="N104" s="11">
        <v>235.63905164356169</v>
      </c>
      <c r="O104" s="10">
        <v>240.03092857992985</v>
      </c>
      <c r="P104" s="10"/>
      <c r="Q104" s="11"/>
      <c r="R104" s="11"/>
      <c r="S104" s="10"/>
      <c r="T104" s="11"/>
      <c r="U104" s="10"/>
      <c r="V104" s="10"/>
      <c r="W104" s="10"/>
      <c r="X104" s="10">
        <v>0.68295312098383243</v>
      </c>
      <c r="Y104" s="11">
        <v>389.07365917984919</v>
      </c>
      <c r="Z104" s="10"/>
      <c r="AA104" s="10"/>
      <c r="AB104" s="10"/>
      <c r="AC104" s="10"/>
      <c r="AD104" s="10"/>
      <c r="AE104" s="10"/>
      <c r="AF104" s="10"/>
      <c r="AG104" s="11">
        <v>48.778522893726169</v>
      </c>
      <c r="AH104" s="11"/>
      <c r="AI104" s="11">
        <v>0.65591336603767947</v>
      </c>
      <c r="AJ104" s="11">
        <v>7.2411623787257171E-2</v>
      </c>
      <c r="AK104" s="11">
        <v>0.30878447839265361</v>
      </c>
      <c r="AL104" s="11">
        <v>5.9671630290099399E-2</v>
      </c>
      <c r="AM104" s="11">
        <v>1.3061210347222418E-2</v>
      </c>
      <c r="AN104" s="11">
        <v>6.1480125366924147E-2</v>
      </c>
      <c r="AO104" s="11">
        <v>1.2609456895135899E-2</v>
      </c>
      <c r="AP104" s="11">
        <v>5.6196328324293394E-2</v>
      </c>
      <c r="AQ104" s="11">
        <v>1.1613194561487548E-2</v>
      </c>
      <c r="AR104" s="11">
        <v>4.3790795559913394E-2</v>
      </c>
      <c r="AS104" s="11">
        <v>3.7416229994439837E-3</v>
      </c>
      <c r="AT104" s="11">
        <v>3.6341825318842731E-2</v>
      </c>
      <c r="AU104" s="11">
        <v>5.351434619081193E-3</v>
      </c>
      <c r="AV104" s="10"/>
      <c r="AW104" s="10"/>
      <c r="AX104" s="10"/>
      <c r="AY104" s="10"/>
      <c r="AZ104" s="10">
        <v>3.0130718957707914</v>
      </c>
      <c r="BA104" s="10">
        <v>2.7728270153557601</v>
      </c>
      <c r="BB104" s="11">
        <v>2.7506082993752403</v>
      </c>
      <c r="BC104" s="11"/>
      <c r="BD104" s="11">
        <v>5.0482694797846204</v>
      </c>
    </row>
    <row r="105" spans="1:56" x14ac:dyDescent="0.3">
      <c r="A105" t="s">
        <v>216</v>
      </c>
      <c r="B105" t="s">
        <v>59</v>
      </c>
      <c r="C105" s="10">
        <v>9974.2273952314736</v>
      </c>
      <c r="D105" s="11">
        <v>2552.6673878334909</v>
      </c>
      <c r="E105" s="10"/>
      <c r="F105" s="10">
        <v>126650.9199648104</v>
      </c>
      <c r="G105" s="10"/>
      <c r="H105" s="10">
        <v>278330.63181621849</v>
      </c>
      <c r="I105" s="11">
        <v>254558.72752104717</v>
      </c>
      <c r="J105" s="10"/>
      <c r="K105" s="11">
        <v>2.0174536363269482</v>
      </c>
      <c r="L105" s="11"/>
      <c r="M105" s="11">
        <v>82.190300756968256</v>
      </c>
      <c r="N105" s="11">
        <v>208.78278832249876</v>
      </c>
      <c r="O105" s="10">
        <v>216.25588113215326</v>
      </c>
      <c r="P105" s="10"/>
      <c r="Q105" s="11"/>
      <c r="R105" s="11"/>
      <c r="S105" s="10"/>
      <c r="T105" s="11"/>
      <c r="U105" s="10"/>
      <c r="V105" s="10"/>
      <c r="W105" s="10"/>
      <c r="X105" s="10">
        <v>0.63908759501815959</v>
      </c>
      <c r="Y105" s="11">
        <v>418.38721467218471</v>
      </c>
      <c r="Z105" s="10"/>
      <c r="AA105" s="10"/>
      <c r="AB105" s="10"/>
      <c r="AC105" s="10"/>
      <c r="AD105" s="10"/>
      <c r="AE105" s="10"/>
      <c r="AF105" s="10"/>
      <c r="AG105" s="11">
        <v>43.586829694894433</v>
      </c>
      <c r="AH105" s="11"/>
      <c r="AI105" s="11">
        <v>0.35570223501852777</v>
      </c>
      <c r="AJ105" s="11">
        <v>3.830303519161591E-2</v>
      </c>
      <c r="AK105" s="11">
        <v>0.17561163594978235</v>
      </c>
      <c r="AL105" s="11">
        <v>3.501332490839551E-2</v>
      </c>
      <c r="AM105" s="11">
        <v>1.0355951753162347E-2</v>
      </c>
      <c r="AN105" s="11">
        <v>3.1200035619949374E-2</v>
      </c>
      <c r="AO105" s="11">
        <v>5.7014687254495463E-3</v>
      </c>
      <c r="AP105" s="11">
        <v>2.7770045622243243E-2</v>
      </c>
      <c r="AQ105" s="11">
        <v>7.594366286715528E-3</v>
      </c>
      <c r="AR105" s="11" t="s">
        <v>114</v>
      </c>
      <c r="AS105" s="11" t="s">
        <v>114</v>
      </c>
      <c r="AT105" s="11">
        <v>1.3893094383603423E-2</v>
      </c>
      <c r="AU105" s="11" t="s">
        <v>114</v>
      </c>
      <c r="AV105" s="10"/>
      <c r="AW105" s="10"/>
      <c r="AX105" s="10"/>
      <c r="AY105" s="10"/>
      <c r="AZ105" s="10">
        <v>3.01124030228512</v>
      </c>
      <c r="BA105" s="10">
        <v>2.7296646220763683</v>
      </c>
      <c r="BB105" s="11">
        <v>2.7498219551745482</v>
      </c>
      <c r="BC105" s="11"/>
      <c r="BD105" s="11">
        <v>6.0295278879032468</v>
      </c>
    </row>
    <row r="106" spans="1:56" x14ac:dyDescent="0.3">
      <c r="A106" t="s">
        <v>217</v>
      </c>
      <c r="B106" t="s">
        <v>59</v>
      </c>
      <c r="C106" s="10">
        <v>13720.206699914559</v>
      </c>
      <c r="D106" s="11">
        <v>2629.1777375362149</v>
      </c>
      <c r="E106" s="10"/>
      <c r="F106" s="10">
        <v>148720.10188835327</v>
      </c>
      <c r="G106" s="10"/>
      <c r="H106" s="10">
        <v>322053.34775645571</v>
      </c>
      <c r="I106" s="11">
        <v>299203.19302980247</v>
      </c>
      <c r="J106" s="10"/>
      <c r="K106" s="11">
        <v>2.46637616105382</v>
      </c>
      <c r="L106" s="11"/>
      <c r="M106" s="11">
        <v>68.137103211273427</v>
      </c>
      <c r="N106" s="11">
        <v>377.11199592917285</v>
      </c>
      <c r="O106" s="10">
        <v>383.07181911898147</v>
      </c>
      <c r="P106" s="10"/>
      <c r="Q106" s="11"/>
      <c r="R106" s="11"/>
      <c r="S106" s="10"/>
      <c r="T106" s="11"/>
      <c r="U106" s="10"/>
      <c r="V106" s="10"/>
      <c r="W106" s="10"/>
      <c r="X106" s="10">
        <v>1.0062587117190314</v>
      </c>
      <c r="Y106" s="11">
        <v>296.47905268842089</v>
      </c>
      <c r="Z106" s="10"/>
      <c r="AA106" s="10"/>
      <c r="AB106" s="10"/>
      <c r="AC106" s="10"/>
      <c r="AD106" s="10"/>
      <c r="AE106" s="10"/>
      <c r="AF106" s="10"/>
      <c r="AG106" s="11">
        <v>45.240292010214056</v>
      </c>
      <c r="AH106" s="11"/>
      <c r="AI106" s="11">
        <v>5.2368718020616027</v>
      </c>
      <c r="AJ106" s="11">
        <v>0.57933747623704779</v>
      </c>
      <c r="AK106" s="11">
        <v>2.4376474060576849</v>
      </c>
      <c r="AL106" s="11">
        <v>0.5323103577959496</v>
      </c>
      <c r="AM106" s="11">
        <v>0.12493590253310753</v>
      </c>
      <c r="AN106" s="11">
        <v>0.58244567374377065</v>
      </c>
      <c r="AO106" s="11">
        <v>8.8809858070780082E-2</v>
      </c>
      <c r="AP106" s="11">
        <v>0.51871282612419889</v>
      </c>
      <c r="AQ106" s="11">
        <v>0.10787342619185269</v>
      </c>
      <c r="AR106" s="11">
        <v>0.27081666957043482</v>
      </c>
      <c r="AS106" s="11">
        <v>3.9672714654482043E-2</v>
      </c>
      <c r="AT106" s="11">
        <v>0.21823792078615409</v>
      </c>
      <c r="AU106" s="11">
        <v>2.8132297344375157E-2</v>
      </c>
      <c r="AV106" s="10"/>
      <c r="AW106" s="10"/>
      <c r="AX106" s="10"/>
      <c r="AY106" s="10"/>
      <c r="AZ106" s="10">
        <v>16.019286846290612</v>
      </c>
      <c r="BA106" s="10">
        <v>14.45389824210827</v>
      </c>
      <c r="BB106" s="11">
        <v>14.539665098614071</v>
      </c>
      <c r="BC106" s="11"/>
      <c r="BD106" s="11">
        <v>2.0979575701018454</v>
      </c>
    </row>
    <row r="107" spans="1:56" x14ac:dyDescent="0.3">
      <c r="A107" t="s">
        <v>218</v>
      </c>
      <c r="B107" t="s">
        <v>59</v>
      </c>
      <c r="C107" s="10">
        <v>9140.1519022126049</v>
      </c>
      <c r="D107" s="11">
        <v>2071.3429431116747</v>
      </c>
      <c r="E107" s="10"/>
      <c r="F107" s="10">
        <v>153457.19434318683</v>
      </c>
      <c r="G107" s="10"/>
      <c r="H107" s="10">
        <v>328756.38898793934</v>
      </c>
      <c r="I107" s="11">
        <v>303757.27287393855</v>
      </c>
      <c r="J107" s="10"/>
      <c r="K107" s="11">
        <v>0.66806106204098958</v>
      </c>
      <c r="L107" s="11"/>
      <c r="M107" s="11">
        <v>12.105375410204939</v>
      </c>
      <c r="N107" s="11">
        <v>232.36382821592383</v>
      </c>
      <c r="O107" s="10">
        <v>236.93927712840161</v>
      </c>
      <c r="P107" s="10"/>
      <c r="Q107" s="11"/>
      <c r="R107" s="11"/>
      <c r="S107" s="10"/>
      <c r="T107" s="11"/>
      <c r="U107" s="10"/>
      <c r="V107" s="10"/>
      <c r="W107" s="10"/>
      <c r="X107" s="10">
        <v>0.80372934900067594</v>
      </c>
      <c r="Y107" s="11">
        <v>186.40135799345438</v>
      </c>
      <c r="Z107" s="10"/>
      <c r="AA107" s="10"/>
      <c r="AB107" s="10"/>
      <c r="AC107" s="10"/>
      <c r="AD107" s="10"/>
      <c r="AE107" s="10"/>
      <c r="AF107" s="10"/>
      <c r="AG107" s="11">
        <v>39.308797210193859</v>
      </c>
      <c r="AH107" s="11"/>
      <c r="AI107" s="11">
        <v>1.2593158974741834</v>
      </c>
      <c r="AJ107" s="11">
        <v>0.14193490034943207</v>
      </c>
      <c r="AK107" s="11">
        <v>0.6028260519345815</v>
      </c>
      <c r="AL107" s="11">
        <v>0.13510122969368549</v>
      </c>
      <c r="AM107" s="11">
        <v>3.1169970456218492E-2</v>
      </c>
      <c r="AN107" s="11">
        <v>0.13887436173451781</v>
      </c>
      <c r="AO107" s="11">
        <v>2.1028824564497037E-2</v>
      </c>
      <c r="AP107" s="11">
        <v>0.12189423399567949</v>
      </c>
      <c r="AQ107" s="11">
        <v>2.1734574612435768E-2</v>
      </c>
      <c r="AR107" s="11">
        <v>5.8622735830545426E-2</v>
      </c>
      <c r="AS107" s="11">
        <v>7.3179206815941894E-3</v>
      </c>
      <c r="AT107" s="11">
        <v>3.6662136780620615E-2</v>
      </c>
      <c r="AU107" s="11">
        <v>5.3115726658325077E-3</v>
      </c>
      <c r="AV107" s="10"/>
      <c r="AW107" s="10"/>
      <c r="AX107" s="10"/>
      <c r="AY107" s="10"/>
      <c r="AZ107" s="10">
        <v>7.0185953791240898</v>
      </c>
      <c r="BA107" s="10">
        <v>6.36435952590739</v>
      </c>
      <c r="BB107" s="11">
        <v>6.4024010404156586</v>
      </c>
      <c r="BC107" s="11"/>
      <c r="BD107" s="11">
        <v>0.20415758949386609</v>
      </c>
    </row>
    <row r="108" spans="1:56" x14ac:dyDescent="0.3">
      <c r="A108" t="s">
        <v>219</v>
      </c>
      <c r="B108" t="s">
        <v>59</v>
      </c>
      <c r="C108" s="10">
        <v>9856.4553930768761</v>
      </c>
      <c r="D108" s="11">
        <v>2059.9174635087156</v>
      </c>
      <c r="E108" s="10"/>
      <c r="F108" s="10">
        <v>154903.88915769305</v>
      </c>
      <c r="G108" s="10"/>
      <c r="H108" s="10">
        <v>329205.39719734213</v>
      </c>
      <c r="I108" s="11">
        <v>302788.04658754618</v>
      </c>
      <c r="J108" s="10"/>
      <c r="K108" s="11">
        <v>0.73340564179072143</v>
      </c>
      <c r="L108" s="11"/>
      <c r="M108" s="11">
        <v>20.5723500889275</v>
      </c>
      <c r="N108" s="11">
        <v>235.41452824577567</v>
      </c>
      <c r="O108" s="10">
        <v>245.57126816244124</v>
      </c>
      <c r="P108" s="10"/>
      <c r="Q108" s="11"/>
      <c r="R108" s="11"/>
      <c r="S108" s="10"/>
      <c r="T108" s="11"/>
      <c r="U108" s="10"/>
      <c r="V108" s="10"/>
      <c r="W108" s="10"/>
      <c r="X108" s="10">
        <v>0.66937215761529301</v>
      </c>
      <c r="Y108" s="11">
        <v>196.76189959335679</v>
      </c>
      <c r="Z108" s="10"/>
      <c r="AA108" s="10"/>
      <c r="AB108" s="10"/>
      <c r="AC108" s="10"/>
      <c r="AD108" s="10"/>
      <c r="AE108" s="10"/>
      <c r="AF108" s="10"/>
      <c r="AG108" s="11">
        <v>41.621193224394112</v>
      </c>
      <c r="AH108" s="11"/>
      <c r="AI108" s="11">
        <v>1.2153265980899</v>
      </c>
      <c r="AJ108" s="11">
        <v>0.12820760605941633</v>
      </c>
      <c r="AK108" s="11">
        <v>0.63337893049503702</v>
      </c>
      <c r="AL108" s="11">
        <v>0.12646271997556596</v>
      </c>
      <c r="AM108" s="11">
        <v>2.5327517273247842E-2</v>
      </c>
      <c r="AN108" s="11">
        <v>0.12965872310667015</v>
      </c>
      <c r="AO108" s="11">
        <v>2.4874065710644194E-2</v>
      </c>
      <c r="AP108" s="11">
        <v>0.12067640386154069</v>
      </c>
      <c r="AQ108" s="11">
        <v>2.2799646084109219E-2</v>
      </c>
      <c r="AR108" s="11">
        <v>5.9802347318950386E-2</v>
      </c>
      <c r="AS108" s="11">
        <v>8.3992608586989648E-3</v>
      </c>
      <c r="AT108" s="11">
        <v>5.063959476151219E-2</v>
      </c>
      <c r="AU108" s="11">
        <v>6.5992123710767493E-3</v>
      </c>
      <c r="AV108" s="10"/>
      <c r="AW108" s="10"/>
      <c r="AX108" s="10"/>
      <c r="AY108" s="10"/>
      <c r="AZ108" s="10">
        <v>6.7193820356700469</v>
      </c>
      <c r="BA108" s="10">
        <v>6.0380068385567389</v>
      </c>
      <c r="BB108" s="11">
        <v>6.0943042208668627</v>
      </c>
      <c r="BC108" s="11"/>
      <c r="BD108" s="11">
        <v>0.92161350129792519</v>
      </c>
    </row>
    <row r="109" spans="1:56" x14ac:dyDescent="0.3">
      <c r="A109" t="s">
        <v>220</v>
      </c>
      <c r="B109" t="s">
        <v>59</v>
      </c>
      <c r="C109" s="10">
        <v>12341.292752883575</v>
      </c>
      <c r="D109" s="11">
        <v>3254.5121224594027</v>
      </c>
      <c r="E109" s="10"/>
      <c r="F109" s="10">
        <v>158998.48025062212</v>
      </c>
      <c r="G109" s="10"/>
      <c r="H109" s="10">
        <v>347645.01099969412</v>
      </c>
      <c r="I109" s="11">
        <v>318978.47801420157</v>
      </c>
      <c r="J109" s="10"/>
      <c r="K109" s="11">
        <v>2.5374823603671857</v>
      </c>
      <c r="L109" s="11"/>
      <c r="M109" s="11">
        <v>195.49027944947713</v>
      </c>
      <c r="N109" s="11">
        <v>210.54531159132387</v>
      </c>
      <c r="O109" s="10">
        <v>217.28381383941877</v>
      </c>
      <c r="P109" s="10"/>
      <c r="Q109" s="11"/>
      <c r="R109" s="11"/>
      <c r="S109" s="10"/>
      <c r="T109" s="11"/>
      <c r="U109" s="10"/>
      <c r="V109" s="10"/>
      <c r="W109" s="10"/>
      <c r="X109" s="10">
        <v>0.90686660256135831</v>
      </c>
      <c r="Y109" s="11">
        <v>611.77149818012094</v>
      </c>
      <c r="Z109" s="10"/>
      <c r="AA109" s="10"/>
      <c r="AB109" s="10"/>
      <c r="AC109" s="10"/>
      <c r="AD109" s="10"/>
      <c r="AE109" s="10"/>
      <c r="AF109" s="10"/>
      <c r="AG109" s="11">
        <v>56.27956748208679</v>
      </c>
      <c r="AH109" s="11"/>
      <c r="AI109" s="11">
        <v>0.41088529779769351</v>
      </c>
      <c r="AJ109" s="11">
        <v>4.3352872984013913E-2</v>
      </c>
      <c r="AK109" s="11">
        <v>0.17786357971878686</v>
      </c>
      <c r="AL109" s="11">
        <v>3.4311676248995296E-2</v>
      </c>
      <c r="AM109" s="11">
        <v>9.8585815091592633E-3</v>
      </c>
      <c r="AN109" s="11">
        <v>3.310876444609355E-2</v>
      </c>
      <c r="AO109" s="11">
        <v>7.720544641619807E-3</v>
      </c>
      <c r="AP109" s="11">
        <v>4.3832799314455682E-2</v>
      </c>
      <c r="AQ109" s="11">
        <v>1.0028786459214071E-2</v>
      </c>
      <c r="AR109" s="11">
        <v>2.7614974458598413E-2</v>
      </c>
      <c r="AS109" s="11">
        <v>3.7908455471705985E-3</v>
      </c>
      <c r="AT109" s="11">
        <v>1.7632805183927586E-2</v>
      </c>
      <c r="AU109" s="11">
        <v>2.6688128605237313E-3</v>
      </c>
      <c r="AV109" s="10"/>
      <c r="AW109" s="10"/>
      <c r="AX109" s="10"/>
      <c r="AY109" s="10"/>
      <c r="AZ109" s="10">
        <v>6.0877020232114836</v>
      </c>
      <c r="BA109" s="10">
        <v>5.4923186630698879</v>
      </c>
      <c r="BB109" s="11">
        <v>5.5519272006087537</v>
      </c>
      <c r="BC109" s="11"/>
      <c r="BD109" s="11">
        <v>9.9941958203845669</v>
      </c>
    </row>
    <row r="110" spans="1:56" x14ac:dyDescent="0.3">
      <c r="A110" t="s">
        <v>221</v>
      </c>
      <c r="B110" t="s">
        <v>59</v>
      </c>
      <c r="C110" s="10">
        <v>8513.535248130278</v>
      </c>
      <c r="D110" s="11">
        <v>2292.3070658125512</v>
      </c>
      <c r="E110" s="10"/>
      <c r="F110" s="10">
        <v>97295.045997687746</v>
      </c>
      <c r="G110" s="10"/>
      <c r="H110" s="10">
        <v>214169.98740121583</v>
      </c>
      <c r="I110" s="11">
        <v>196704.64328961479</v>
      </c>
      <c r="J110" s="10"/>
      <c r="K110" s="11">
        <v>3.7173836001970813</v>
      </c>
      <c r="L110" s="11"/>
      <c r="M110" s="11">
        <v>48.282511252152219</v>
      </c>
      <c r="N110" s="11">
        <v>343.54916850609555</v>
      </c>
      <c r="O110" s="10">
        <v>343.95646440921462</v>
      </c>
      <c r="P110" s="10"/>
      <c r="Q110" s="11"/>
      <c r="R110" s="11"/>
      <c r="S110" s="10"/>
      <c r="T110" s="11"/>
      <c r="U110" s="10"/>
      <c r="V110" s="10"/>
      <c r="W110" s="10"/>
      <c r="X110" s="10">
        <v>0.79494123441593634</v>
      </c>
      <c r="Y110" s="11">
        <v>384.41781042921764</v>
      </c>
      <c r="Z110" s="10"/>
      <c r="AA110" s="10"/>
      <c r="AB110" s="10"/>
      <c r="AC110" s="10"/>
      <c r="AD110" s="10"/>
      <c r="AE110" s="10"/>
      <c r="AF110" s="10"/>
      <c r="AG110" s="11">
        <v>45.542218568639569</v>
      </c>
      <c r="AH110" s="11"/>
      <c r="AI110" s="11">
        <v>1.2662281888388194</v>
      </c>
      <c r="AJ110" s="11">
        <v>0.11871961009993219</v>
      </c>
      <c r="AK110" s="11">
        <v>0.54286520557968665</v>
      </c>
      <c r="AL110" s="11">
        <v>0.11632068883591028</v>
      </c>
      <c r="AM110" s="11">
        <v>2.5111923839102556E-2</v>
      </c>
      <c r="AN110" s="11">
        <v>0.1195443829528203</v>
      </c>
      <c r="AO110" s="11">
        <v>2.3893231119688538E-2</v>
      </c>
      <c r="AP110" s="11">
        <v>0.11474175875538409</v>
      </c>
      <c r="AQ110" s="11">
        <v>2.351169901470496E-2</v>
      </c>
      <c r="AR110" s="11">
        <v>7.2474417374074562E-2</v>
      </c>
      <c r="AS110" s="11">
        <v>9.4106250101444484E-3</v>
      </c>
      <c r="AT110" s="11">
        <v>6.0971864063511197E-2</v>
      </c>
      <c r="AU110" s="11">
        <v>1.0684392697563848E-2</v>
      </c>
      <c r="AV110" s="10"/>
      <c r="AW110" s="10"/>
      <c r="AX110" s="10"/>
      <c r="AY110" s="10"/>
      <c r="AZ110" s="10">
        <v>2.8709896026852815</v>
      </c>
      <c r="BA110" s="10">
        <v>2.6244939490128707</v>
      </c>
      <c r="BB110" s="11">
        <v>2.6473525682818111</v>
      </c>
      <c r="BC110" s="11"/>
      <c r="BD110" s="11">
        <v>8.7909567753193691</v>
      </c>
    </row>
    <row r="111" spans="1:56" x14ac:dyDescent="0.3">
      <c r="A111" t="s">
        <v>222</v>
      </c>
      <c r="B111" t="s">
        <v>59</v>
      </c>
      <c r="C111" s="10">
        <v>8439.9747875148842</v>
      </c>
      <c r="D111" s="11">
        <v>1980.5075789097004</v>
      </c>
      <c r="E111" s="10"/>
      <c r="F111" s="10">
        <v>126503.3973733719</v>
      </c>
      <c r="G111" s="10"/>
      <c r="H111" s="10">
        <v>268227.53953699686</v>
      </c>
      <c r="I111" s="11">
        <v>249048.15971910558</v>
      </c>
      <c r="J111" s="10"/>
      <c r="K111" s="11">
        <v>1.0960630759356267</v>
      </c>
      <c r="L111" s="11"/>
      <c r="M111" s="11">
        <v>47.846948760137032</v>
      </c>
      <c r="N111" s="11">
        <v>245.53129640351688</v>
      </c>
      <c r="O111" s="10">
        <v>259.013430365636</v>
      </c>
      <c r="P111" s="10"/>
      <c r="Q111" s="11"/>
      <c r="R111" s="11"/>
      <c r="S111" s="10"/>
      <c r="T111" s="11"/>
      <c r="U111" s="10"/>
      <c r="V111" s="10"/>
      <c r="W111" s="10"/>
      <c r="X111" s="10">
        <v>0.71778706027830752</v>
      </c>
      <c r="Y111" s="11">
        <v>191.97918805672458</v>
      </c>
      <c r="Z111" s="10"/>
      <c r="AA111" s="10"/>
      <c r="AB111" s="10"/>
      <c r="AC111" s="10"/>
      <c r="AD111" s="10"/>
      <c r="AE111" s="10"/>
      <c r="AF111" s="10"/>
      <c r="AG111" s="11">
        <v>40.04906226346047</v>
      </c>
      <c r="AH111" s="11"/>
      <c r="AI111" s="11">
        <v>2.4459504098825491</v>
      </c>
      <c r="AJ111" s="11">
        <v>0.23796973657279208</v>
      </c>
      <c r="AK111" s="11">
        <v>1.0751073063143319</v>
      </c>
      <c r="AL111" s="11">
        <v>0.20659460257019496</v>
      </c>
      <c r="AM111" s="11">
        <v>5.852076923523835E-2</v>
      </c>
      <c r="AN111" s="11">
        <v>0.23769774119677353</v>
      </c>
      <c r="AO111" s="11">
        <v>3.8584569239236352E-2</v>
      </c>
      <c r="AP111" s="11">
        <v>0.27253083448747412</v>
      </c>
      <c r="AQ111" s="11">
        <v>5.2359387911978958E-2</v>
      </c>
      <c r="AR111" s="11">
        <v>0.14933430285799876</v>
      </c>
      <c r="AS111" s="11">
        <v>2.2241264147954673E-2</v>
      </c>
      <c r="AT111" s="11">
        <v>0.11778391027125541</v>
      </c>
      <c r="AU111" s="11">
        <v>1.6953786008337468E-2</v>
      </c>
      <c r="AV111" s="10"/>
      <c r="AW111" s="10"/>
      <c r="AX111" s="10"/>
      <c r="AY111" s="10"/>
      <c r="AZ111" s="10">
        <v>14.686208105904308</v>
      </c>
      <c r="BA111" s="10">
        <v>13.101433650533846</v>
      </c>
      <c r="BB111" s="11">
        <v>13.311149276021126</v>
      </c>
      <c r="BC111" s="11"/>
      <c r="BD111" s="11">
        <v>1.0468683429585881</v>
      </c>
    </row>
    <row r="112" spans="1:56" x14ac:dyDescent="0.3">
      <c r="A112" t="s">
        <v>223</v>
      </c>
      <c r="B112" t="s">
        <v>59</v>
      </c>
      <c r="C112" s="10">
        <v>10142.608436305256</v>
      </c>
      <c r="D112" s="11">
        <v>2642.4790024865765</v>
      </c>
      <c r="E112" s="10"/>
      <c r="F112" s="10">
        <v>145980.81030836873</v>
      </c>
      <c r="G112" s="10"/>
      <c r="H112" s="10">
        <v>308836.73797615868</v>
      </c>
      <c r="I112" s="11">
        <v>287059.15616490773</v>
      </c>
      <c r="J112" s="10"/>
      <c r="K112" s="11">
        <v>2.1182051475220063</v>
      </c>
      <c r="L112" s="11"/>
      <c r="M112" s="11">
        <v>59.03647795801372</v>
      </c>
      <c r="N112" s="11">
        <v>386.95837017519978</v>
      </c>
      <c r="O112" s="10">
        <v>406.06055502917457</v>
      </c>
      <c r="P112" s="10"/>
      <c r="Q112" s="11"/>
      <c r="R112" s="11"/>
      <c r="S112" s="10"/>
      <c r="T112" s="11"/>
      <c r="U112" s="10"/>
      <c r="V112" s="10"/>
      <c r="W112" s="10"/>
      <c r="X112" s="10">
        <v>0.71932387662674513</v>
      </c>
      <c r="Y112" s="11">
        <v>225.58677441925798</v>
      </c>
      <c r="Z112" s="10"/>
      <c r="AA112" s="10"/>
      <c r="AB112" s="10"/>
      <c r="AC112" s="10"/>
      <c r="AD112" s="10"/>
      <c r="AE112" s="10"/>
      <c r="AF112" s="10"/>
      <c r="AG112" s="11">
        <v>39.866179737976672</v>
      </c>
      <c r="AH112" s="11"/>
      <c r="AI112" s="11">
        <v>2.714238542457609</v>
      </c>
      <c r="AJ112" s="11">
        <v>0.27567815407941976</v>
      </c>
      <c r="AK112" s="11">
        <v>1.2311209222601722</v>
      </c>
      <c r="AL112" s="11">
        <v>0.25792483617868933</v>
      </c>
      <c r="AM112" s="11">
        <v>6.4598585345070014E-2</v>
      </c>
      <c r="AN112" s="11">
        <v>0.29293072159914163</v>
      </c>
      <c r="AO112" s="11">
        <v>4.5543823468364969E-2</v>
      </c>
      <c r="AP112" s="11">
        <v>0.26565769503261993</v>
      </c>
      <c r="AQ112" s="11">
        <v>5.2812466610863328E-2</v>
      </c>
      <c r="AR112" s="11">
        <v>0.14103548049061251</v>
      </c>
      <c r="AS112" s="11">
        <v>1.7802466161671658E-2</v>
      </c>
      <c r="AT112" s="11">
        <v>0.1166958527309514</v>
      </c>
      <c r="AU112" s="11">
        <v>1.7399209104371031E-2</v>
      </c>
      <c r="AV112" s="10"/>
      <c r="AW112" s="10"/>
      <c r="AX112" s="10"/>
      <c r="AY112" s="10"/>
      <c r="AZ112" s="10">
        <v>17.707113126532633</v>
      </c>
      <c r="BA112" s="10">
        <v>15.788975140374633</v>
      </c>
      <c r="BB112" s="11">
        <v>16.116006533631985</v>
      </c>
      <c r="BC112" s="11"/>
      <c r="BD112" s="11">
        <v>1.4105574050203753</v>
      </c>
    </row>
    <row r="113" spans="1:56" x14ac:dyDescent="0.3">
      <c r="A113" t="s">
        <v>224</v>
      </c>
      <c r="B113" t="s">
        <v>59</v>
      </c>
      <c r="C113" s="10">
        <v>10491.411808279416</v>
      </c>
      <c r="D113" s="11">
        <v>3025.4604312173592</v>
      </c>
      <c r="E113" s="10"/>
      <c r="F113" s="10">
        <v>154586.97959178517</v>
      </c>
      <c r="G113" s="10"/>
      <c r="H113" s="10">
        <v>334616.40535898571</v>
      </c>
      <c r="I113" s="11">
        <v>307072.08314611128</v>
      </c>
      <c r="J113" s="10"/>
      <c r="K113" s="11">
        <v>2.5760163180325648</v>
      </c>
      <c r="L113" s="11"/>
      <c r="M113" s="11">
        <v>43.313787686778397</v>
      </c>
      <c r="N113" s="11">
        <v>301.74462849803223</v>
      </c>
      <c r="O113" s="10">
        <v>312.47084226868765</v>
      </c>
      <c r="P113" s="10"/>
      <c r="Q113" s="11"/>
      <c r="R113" s="11"/>
      <c r="S113" s="10"/>
      <c r="T113" s="11"/>
      <c r="U113" s="10"/>
      <c r="V113" s="10"/>
      <c r="W113" s="10"/>
      <c r="X113" s="10">
        <v>0.88940455587260581</v>
      </c>
      <c r="Y113" s="11">
        <v>301.77797450685728</v>
      </c>
      <c r="Z113" s="10"/>
      <c r="AA113" s="10"/>
      <c r="AB113" s="10"/>
      <c r="AC113" s="10"/>
      <c r="AD113" s="10"/>
      <c r="AE113" s="10"/>
      <c r="AF113" s="10"/>
      <c r="AG113" s="11">
        <v>43.687045796103511</v>
      </c>
      <c r="AH113" s="11"/>
      <c r="AI113" s="11">
        <v>1.2105983090893424</v>
      </c>
      <c r="AJ113" s="11">
        <v>0.13355791840893227</v>
      </c>
      <c r="AK113" s="11">
        <v>0.55595455384520875</v>
      </c>
      <c r="AL113" s="11">
        <v>0.11051349476070295</v>
      </c>
      <c r="AM113" s="11">
        <v>2.9085236929931833E-2</v>
      </c>
      <c r="AN113" s="11">
        <v>0.12098135279936657</v>
      </c>
      <c r="AO113" s="11">
        <v>1.7032390940547888E-2</v>
      </c>
      <c r="AP113" s="11">
        <v>0.10120241447908328</v>
      </c>
      <c r="AQ113" s="11">
        <v>1.9316964885954361E-2</v>
      </c>
      <c r="AR113" s="11">
        <v>5.2855438870593324E-2</v>
      </c>
      <c r="AS113" s="11">
        <v>7.7818253982560922E-3</v>
      </c>
      <c r="AT113" s="11">
        <v>3.7444676260043039E-2</v>
      </c>
      <c r="AU113" s="11">
        <v>5.6091129776569245E-3</v>
      </c>
      <c r="AV113" s="10"/>
      <c r="AW113" s="10"/>
      <c r="AX113" s="10"/>
      <c r="AY113" s="10"/>
      <c r="AZ113" s="10">
        <v>14.120656238232945</v>
      </c>
      <c r="BA113" s="10">
        <v>12.734932839395157</v>
      </c>
      <c r="BB113" s="11">
        <v>12.888343801592701</v>
      </c>
      <c r="BC113" s="11"/>
      <c r="BD113" s="11">
        <v>7.1196666176560059</v>
      </c>
    </row>
    <row r="114" spans="1:56" x14ac:dyDescent="0.3">
      <c r="A114" t="s">
        <v>225</v>
      </c>
      <c r="B114" t="s">
        <v>59</v>
      </c>
      <c r="C114" s="10">
        <v>9240.1028510880078</v>
      </c>
      <c r="D114" s="11">
        <v>2368.0097281896183</v>
      </c>
      <c r="E114" s="10"/>
      <c r="F114" s="10">
        <v>115412.7959197078</v>
      </c>
      <c r="G114" s="10"/>
      <c r="H114" s="10">
        <v>247131.71820329173</v>
      </c>
      <c r="I114" s="11">
        <v>226888.85130014567</v>
      </c>
      <c r="J114" s="10"/>
      <c r="K114" s="11">
        <v>0.98875910817659363</v>
      </c>
      <c r="L114" s="11"/>
      <c r="M114" s="11">
        <v>24.710550419162342</v>
      </c>
      <c r="N114" s="11">
        <v>246.99876244323639</v>
      </c>
      <c r="O114" s="10">
        <v>252.66591748688649</v>
      </c>
      <c r="P114" s="10"/>
      <c r="Q114" s="11"/>
      <c r="R114" s="11"/>
      <c r="S114" s="10"/>
      <c r="T114" s="11"/>
      <c r="U114" s="10"/>
      <c r="V114" s="10"/>
      <c r="W114" s="10"/>
      <c r="X114" s="10">
        <v>0.70831498191443609</v>
      </c>
      <c r="Y114" s="11">
        <v>207.79060734890777</v>
      </c>
      <c r="Z114" s="10"/>
      <c r="AA114" s="10"/>
      <c r="AB114" s="10"/>
      <c r="AC114" s="10"/>
      <c r="AD114" s="10"/>
      <c r="AE114" s="10"/>
      <c r="AF114" s="10"/>
      <c r="AG114" s="11">
        <v>41.365228560283178</v>
      </c>
      <c r="AH114" s="11"/>
      <c r="AI114" s="11">
        <v>1.524073149803759</v>
      </c>
      <c r="AJ114" s="11">
        <v>0.14658882612464891</v>
      </c>
      <c r="AK114" s="11">
        <v>0.70198879605095421</v>
      </c>
      <c r="AL114" s="11">
        <v>0.12794803978394945</v>
      </c>
      <c r="AM114" s="11">
        <v>3.2136566864659655E-2</v>
      </c>
      <c r="AN114" s="11">
        <v>0.13819358764647924</v>
      </c>
      <c r="AO114" s="11">
        <v>2.3056524237054569E-2</v>
      </c>
      <c r="AP114" s="11">
        <v>0.13576476479121538</v>
      </c>
      <c r="AQ114" s="11">
        <v>2.435134789412053E-2</v>
      </c>
      <c r="AR114" s="11">
        <v>7.0267245142299165E-2</v>
      </c>
      <c r="AS114" s="11">
        <v>9.2876950309197653E-3</v>
      </c>
      <c r="AT114" s="11">
        <v>5.8713949871537788E-2</v>
      </c>
      <c r="AU114" s="11">
        <v>7.625101473841666E-3</v>
      </c>
      <c r="AV114" s="10"/>
      <c r="AW114" s="10"/>
      <c r="AX114" s="10"/>
      <c r="AY114" s="10"/>
      <c r="AZ114" s="10">
        <v>10.547476144307147</v>
      </c>
      <c r="BA114" s="10">
        <v>9.5943476025238255</v>
      </c>
      <c r="BB114" s="11">
        <v>9.6430034507004834</v>
      </c>
      <c r="BC114" s="11"/>
      <c r="BD114" s="11">
        <v>1.1789831569521125</v>
      </c>
    </row>
    <row r="115" spans="1:56" x14ac:dyDescent="0.3">
      <c r="A115" t="s">
        <v>226</v>
      </c>
      <c r="B115" t="s">
        <v>59</v>
      </c>
      <c r="C115" s="10">
        <v>10304.860796244411</v>
      </c>
      <c r="D115" s="11">
        <v>2614.3188786239398</v>
      </c>
      <c r="E115" s="10"/>
      <c r="F115" s="10">
        <v>144554.01607434155</v>
      </c>
      <c r="G115" s="10"/>
      <c r="H115" s="10">
        <v>320196.9828774177</v>
      </c>
      <c r="I115" s="11">
        <v>301683.80059390597</v>
      </c>
      <c r="J115" s="10"/>
      <c r="K115" s="11">
        <v>4.918004255408305</v>
      </c>
      <c r="L115" s="11"/>
      <c r="M115" s="11">
        <v>150.27852005372054</v>
      </c>
      <c r="N115" s="11">
        <v>288.62569231647461</v>
      </c>
      <c r="O115" s="10">
        <v>305.30934544892932</v>
      </c>
      <c r="P115" s="10"/>
      <c r="Q115" s="11"/>
      <c r="R115" s="11"/>
      <c r="S115" s="10"/>
      <c r="T115" s="11"/>
      <c r="U115" s="10"/>
      <c r="V115" s="10"/>
      <c r="W115" s="10"/>
      <c r="X115" s="10">
        <v>0.75620926477868755</v>
      </c>
      <c r="Y115" s="11">
        <v>728.24334036052812</v>
      </c>
      <c r="Z115" s="10"/>
      <c r="AA115" s="10"/>
      <c r="AB115" s="10"/>
      <c r="AC115" s="10"/>
      <c r="AD115" s="10"/>
      <c r="AE115" s="10"/>
      <c r="AF115" s="10"/>
      <c r="AG115" s="11">
        <v>54.234682787057857</v>
      </c>
      <c r="AH115" s="11"/>
      <c r="AI115" s="11">
        <v>1.1176567700395061</v>
      </c>
      <c r="AJ115" s="11">
        <v>0.12579703925931834</v>
      </c>
      <c r="AK115" s="11">
        <v>0.50862624949060364</v>
      </c>
      <c r="AL115" s="11">
        <v>0.11138361137729634</v>
      </c>
      <c r="AM115" s="11">
        <v>3.0493957797006716E-2</v>
      </c>
      <c r="AN115" s="11">
        <v>0.12764403049154352</v>
      </c>
      <c r="AO115" s="11">
        <v>2.2227673098659421E-2</v>
      </c>
      <c r="AP115" s="11">
        <v>0.10527653163327147</v>
      </c>
      <c r="AQ115" s="11">
        <v>2.1883174098362837E-2</v>
      </c>
      <c r="AR115" s="11">
        <v>6.9800849905499174E-2</v>
      </c>
      <c r="AS115" s="11">
        <v>7.3040443019934467E-3</v>
      </c>
      <c r="AT115" s="11">
        <v>4.8057659566673086E-2</v>
      </c>
      <c r="AU115" s="11">
        <v>7.5709383094293078E-3</v>
      </c>
      <c r="AV115" s="10"/>
      <c r="AW115" s="10"/>
      <c r="AX115" s="10"/>
      <c r="AY115" s="10"/>
      <c r="AZ115" s="10">
        <v>4.2246427844352192</v>
      </c>
      <c r="BA115" s="10">
        <v>3.8615265559349474</v>
      </c>
      <c r="BB115" s="11">
        <v>3.9147437191359806</v>
      </c>
      <c r="BC115" s="11"/>
      <c r="BD115" s="11">
        <v>12.747181508927438</v>
      </c>
    </row>
    <row r="116" spans="1:56" x14ac:dyDescent="0.3">
      <c r="A116" t="s">
        <v>227</v>
      </c>
      <c r="B116" t="s">
        <v>59</v>
      </c>
      <c r="C116" s="10">
        <v>10923.040749230346</v>
      </c>
      <c r="D116" s="11">
        <v>2236.1602270102262</v>
      </c>
      <c r="E116" s="10"/>
      <c r="F116" s="10">
        <v>100543.96103786098</v>
      </c>
      <c r="G116" s="10"/>
      <c r="H116" s="10">
        <v>236681.83978081631</v>
      </c>
      <c r="I116" s="11">
        <v>217295.11965122866</v>
      </c>
      <c r="J116" s="10"/>
      <c r="K116" s="11">
        <v>5.0317405139961462</v>
      </c>
      <c r="L116" s="11"/>
      <c r="M116" s="11">
        <v>183.40789615641521</v>
      </c>
      <c r="N116" s="11">
        <v>138.18035920753417</v>
      </c>
      <c r="O116" s="10">
        <v>140.57969905263712</v>
      </c>
      <c r="P116" s="10"/>
      <c r="Q116" s="11"/>
      <c r="R116" s="11"/>
      <c r="S116" s="10"/>
      <c r="T116" s="11"/>
      <c r="U116" s="10"/>
      <c r="V116" s="10"/>
      <c r="W116" s="10"/>
      <c r="X116" s="10">
        <v>0.46692243797839905</v>
      </c>
      <c r="Y116" s="11">
        <v>773.53559495951527</v>
      </c>
      <c r="Z116" s="10"/>
      <c r="AA116" s="10"/>
      <c r="AB116" s="10"/>
      <c r="AC116" s="10"/>
      <c r="AD116" s="10"/>
      <c r="AE116" s="10"/>
      <c r="AF116" s="10"/>
      <c r="AG116" s="11">
        <v>30.183391719035694</v>
      </c>
      <c r="AH116" s="11"/>
      <c r="AI116" s="11">
        <v>0.6873583352313275</v>
      </c>
      <c r="AJ116" s="11">
        <v>7.6883962396467193E-2</v>
      </c>
      <c r="AK116" s="11">
        <v>0.43499616723728762</v>
      </c>
      <c r="AL116" s="11">
        <v>7.0114686463918746E-2</v>
      </c>
      <c r="AM116" s="11">
        <v>1.7691963727134191E-2</v>
      </c>
      <c r="AN116" s="11">
        <v>7.1779885117731215E-2</v>
      </c>
      <c r="AO116" s="11">
        <v>1.9520619895446706E-2</v>
      </c>
      <c r="AP116" s="11">
        <v>6.8528562717384306E-2</v>
      </c>
      <c r="AQ116" s="11">
        <v>1.4522321386703514E-2</v>
      </c>
      <c r="AR116" s="11">
        <v>4.6232971581527914E-2</v>
      </c>
      <c r="AS116" s="11">
        <v>7.2011143598662659E-3</v>
      </c>
      <c r="AT116" s="11">
        <v>3.344617755740182E-2</v>
      </c>
      <c r="AU116" s="11">
        <v>5.0625246906448622E-3</v>
      </c>
      <c r="AV116" s="10"/>
      <c r="AW116" s="10"/>
      <c r="AX116" s="10"/>
      <c r="AY116" s="10"/>
      <c r="AZ116" s="10">
        <v>4.0397823225871088</v>
      </c>
      <c r="BA116" s="10">
        <v>3.7526940408673002</v>
      </c>
      <c r="BB116" s="11">
        <v>3.7342560647242022</v>
      </c>
      <c r="BC116" s="11"/>
      <c r="BD116" s="11">
        <v>18.284218376225638</v>
      </c>
    </row>
    <row r="117" spans="1:56" x14ac:dyDescent="0.3">
      <c r="A117" t="s">
        <v>228</v>
      </c>
      <c r="B117" t="s">
        <v>59</v>
      </c>
      <c r="C117" s="10">
        <v>10030.473973639557</v>
      </c>
      <c r="D117" s="11">
        <v>2381.9963630782099</v>
      </c>
      <c r="E117" s="10"/>
      <c r="F117" s="10">
        <v>145445.39784508196</v>
      </c>
      <c r="G117" s="10"/>
      <c r="H117" s="10">
        <v>307778.4444893488</v>
      </c>
      <c r="I117" s="11">
        <v>284258.78379188833</v>
      </c>
      <c r="J117" s="10"/>
      <c r="K117" s="11">
        <v>2.5273411603579894</v>
      </c>
      <c r="L117" s="11"/>
      <c r="M117" s="11">
        <v>21.893898515087567</v>
      </c>
      <c r="N117" s="11">
        <v>287.91790394703315</v>
      </c>
      <c r="O117" s="10">
        <v>293.99634497560174</v>
      </c>
      <c r="P117" s="10"/>
      <c r="Q117" s="11"/>
      <c r="R117" s="11"/>
      <c r="S117" s="10"/>
      <c r="T117" s="11"/>
      <c r="U117" s="10"/>
      <c r="V117" s="10"/>
      <c r="W117" s="10"/>
      <c r="X117" s="10">
        <v>0.50215860576269311</v>
      </c>
      <c r="Y117" s="11">
        <v>209.31380083848813</v>
      </c>
      <c r="Z117" s="10"/>
      <c r="AA117" s="10"/>
      <c r="AB117" s="10"/>
      <c r="AC117" s="10"/>
      <c r="AD117" s="10"/>
      <c r="AE117" s="10"/>
      <c r="AF117" s="10"/>
      <c r="AG117" s="11">
        <v>18.252992830756291</v>
      </c>
      <c r="AH117" s="11"/>
      <c r="AI117" s="11">
        <v>1.1320338587755903</v>
      </c>
      <c r="AJ117" s="11">
        <v>0.13732477890563904</v>
      </c>
      <c r="AK117" s="11">
        <v>0.70845112304712898</v>
      </c>
      <c r="AL117" s="11">
        <v>0.11144078856874642</v>
      </c>
      <c r="AM117" s="11">
        <v>2.2309427266379474E-2</v>
      </c>
      <c r="AN117" s="11">
        <v>0.10495460583064108</v>
      </c>
      <c r="AO117" s="11">
        <v>2.2052157471659766E-2</v>
      </c>
      <c r="AP117" s="11">
        <v>9.4147282448847416E-2</v>
      </c>
      <c r="AQ117" s="11">
        <v>1.7040922117305079E-2</v>
      </c>
      <c r="AR117" s="11">
        <v>4.7719432017643157E-2</v>
      </c>
      <c r="AS117" s="11">
        <v>5.2024656513208955E-3</v>
      </c>
      <c r="AT117" s="11">
        <v>3.9881560811898156E-2</v>
      </c>
      <c r="AU117" s="11">
        <v>5.7852240511978154E-3</v>
      </c>
      <c r="AV117" s="10"/>
      <c r="AW117" s="10"/>
      <c r="AX117" s="10"/>
      <c r="AY117" s="10"/>
      <c r="AZ117" s="10">
        <v>4.982576555892904</v>
      </c>
      <c r="BA117" s="10">
        <v>4.4550039242877819</v>
      </c>
      <c r="BB117" s="11">
        <v>4.5288874206958187</v>
      </c>
      <c r="BC117" s="11"/>
      <c r="BD117" s="11">
        <v>2.1743821836178894</v>
      </c>
    </row>
    <row r="118" spans="1:56" x14ac:dyDescent="0.3">
      <c r="A118" t="s">
        <v>229</v>
      </c>
      <c r="B118" t="s">
        <v>59</v>
      </c>
      <c r="C118" s="10">
        <v>11194.504673410775</v>
      </c>
      <c r="D118" s="11">
        <v>2175.5795242453305</v>
      </c>
      <c r="E118" s="10"/>
      <c r="F118" s="10">
        <v>122908.9416444228</v>
      </c>
      <c r="G118" s="10"/>
      <c r="H118" s="10">
        <v>261116.00097365116</v>
      </c>
      <c r="I118" s="11">
        <v>240143.19810603219</v>
      </c>
      <c r="J118" s="10"/>
      <c r="K118" s="11">
        <v>1.6901522708656573</v>
      </c>
      <c r="L118" s="11"/>
      <c r="M118" s="11">
        <v>131.1958881356594</v>
      </c>
      <c r="N118" s="11">
        <v>234.30924872105533</v>
      </c>
      <c r="O118" s="10">
        <v>247.21559165311095</v>
      </c>
      <c r="P118" s="10"/>
      <c r="Q118" s="11"/>
      <c r="R118" s="11"/>
      <c r="S118" s="10"/>
      <c r="T118" s="11"/>
      <c r="U118" s="10"/>
      <c r="V118" s="10"/>
      <c r="W118" s="10"/>
      <c r="X118" s="10">
        <v>0.48716318246272616</v>
      </c>
      <c r="Y118" s="11">
        <v>209.90829366985835</v>
      </c>
      <c r="Z118" s="10"/>
      <c r="AA118" s="10"/>
      <c r="AB118" s="10"/>
      <c r="AC118" s="10"/>
      <c r="AD118" s="10"/>
      <c r="AE118" s="10"/>
      <c r="AF118" s="10"/>
      <c r="AG118" s="11">
        <v>20.995158629521505</v>
      </c>
      <c r="AH118" s="11"/>
      <c r="AI118" s="11">
        <v>0.31743073486566309</v>
      </c>
      <c r="AJ118" s="11">
        <v>3.4930900315181278E-2</v>
      </c>
      <c r="AK118" s="11">
        <v>0.26657138718888834</v>
      </c>
      <c r="AL118" s="11">
        <v>1.9521280025811345E-2</v>
      </c>
      <c r="AM118" s="11">
        <v>5.0677548847264404E-3</v>
      </c>
      <c r="AN118" s="11">
        <v>2.3522898811741848E-2</v>
      </c>
      <c r="AO118" s="11">
        <v>1.2832914343202093E-2</v>
      </c>
      <c r="AP118" s="11">
        <v>2.7192774639206708E-2</v>
      </c>
      <c r="AQ118" s="11" t="s">
        <v>114</v>
      </c>
      <c r="AR118" s="11">
        <v>1.8113619869235983E-2</v>
      </c>
      <c r="AS118" s="11">
        <v>3.4035406425123411E-3</v>
      </c>
      <c r="AT118" s="11">
        <v>1.0433077895335523E-2</v>
      </c>
      <c r="AU118" s="11">
        <v>2.5987109719034663E-3</v>
      </c>
      <c r="AV118" s="10"/>
      <c r="AW118" s="10"/>
      <c r="AX118" s="10"/>
      <c r="AY118" s="10"/>
      <c r="AZ118" s="10">
        <v>3.4930687786389831</v>
      </c>
      <c r="BA118" s="10">
        <v>3.0664097794298657</v>
      </c>
      <c r="BB118" s="11">
        <v>3.1109925822412716</v>
      </c>
      <c r="BC118" s="11"/>
      <c r="BD118" s="11">
        <v>1.9060029216608363</v>
      </c>
    </row>
    <row r="119" spans="1:56" x14ac:dyDescent="0.3">
      <c r="A119" t="s">
        <v>230</v>
      </c>
      <c r="B119" t="s">
        <v>59</v>
      </c>
      <c r="C119" s="10">
        <v>11716.9300653762</v>
      </c>
      <c r="D119" s="11">
        <v>2447.5610077423567</v>
      </c>
      <c r="E119" s="10"/>
      <c r="F119" s="10">
        <v>142311.24858058392</v>
      </c>
      <c r="G119" s="10"/>
      <c r="H119" s="10">
        <v>304621.45864691061</v>
      </c>
      <c r="I119" s="11">
        <v>281321.12713877059</v>
      </c>
      <c r="J119" s="10"/>
      <c r="K119" s="11">
        <v>2.4168086181438815</v>
      </c>
      <c r="L119" s="11"/>
      <c r="M119" s="11">
        <v>60.085195651433125</v>
      </c>
      <c r="N119" s="11">
        <v>266.73979425971078</v>
      </c>
      <c r="O119" s="10">
        <v>284.22743474411448</v>
      </c>
      <c r="P119" s="10"/>
      <c r="Q119" s="11"/>
      <c r="R119" s="11"/>
      <c r="S119" s="10"/>
      <c r="T119" s="11"/>
      <c r="U119" s="10"/>
      <c r="V119" s="10"/>
      <c r="W119" s="10"/>
      <c r="X119" s="10">
        <v>0.55342017026915558</v>
      </c>
      <c r="Y119" s="11">
        <v>332.47787356438226</v>
      </c>
      <c r="Z119" s="10"/>
      <c r="AA119" s="10"/>
      <c r="AB119" s="10"/>
      <c r="AC119" s="10"/>
      <c r="AD119" s="10"/>
      <c r="AE119" s="10"/>
      <c r="AF119" s="10"/>
      <c r="AG119" s="11">
        <v>21.534892633083448</v>
      </c>
      <c r="AH119" s="11"/>
      <c r="AI119" s="11">
        <v>0.48352303354080878</v>
      </c>
      <c r="AJ119" s="11">
        <v>5.3970754978069344E-2</v>
      </c>
      <c r="AK119" s="11">
        <v>0.34059737210405105</v>
      </c>
      <c r="AL119" s="11">
        <v>5.2839782052775709E-2</v>
      </c>
      <c r="AM119" s="11">
        <v>1.0786841932505132E-2</v>
      </c>
      <c r="AN119" s="11">
        <v>4.800845043640127E-2</v>
      </c>
      <c r="AO119" s="11">
        <v>1.858149506901316E-2</v>
      </c>
      <c r="AP119" s="11">
        <v>3.952360970013151E-2</v>
      </c>
      <c r="AQ119" s="11">
        <v>9.7778026737061451E-3</v>
      </c>
      <c r="AR119" s="11">
        <v>2.9709139815237137E-2</v>
      </c>
      <c r="AS119" s="11">
        <v>3.8924031254564443E-3</v>
      </c>
      <c r="AT119" s="11">
        <v>1.7397807556079461E-2</v>
      </c>
      <c r="AU119" s="11">
        <v>2.8696501378454257E-3</v>
      </c>
      <c r="AV119" s="10"/>
      <c r="AW119" s="10"/>
      <c r="AX119" s="10"/>
      <c r="AY119" s="10"/>
      <c r="AZ119" s="10">
        <v>4.0130987172066348</v>
      </c>
      <c r="BA119" s="10">
        <v>3.5602839034358786</v>
      </c>
      <c r="BB119" s="11">
        <v>3.6684760854072733</v>
      </c>
      <c r="BC119" s="11"/>
      <c r="BD119" s="11">
        <v>5.0032910409421802</v>
      </c>
    </row>
    <row r="120" spans="1:56" x14ac:dyDescent="0.3">
      <c r="A120" t="s">
        <v>231</v>
      </c>
      <c r="B120" t="s">
        <v>59</v>
      </c>
      <c r="C120" s="10">
        <v>10672.180240788428</v>
      </c>
      <c r="D120" s="11">
        <v>2231.8049356859196</v>
      </c>
      <c r="E120" s="10"/>
      <c r="F120" s="10">
        <v>140767.43515441159</v>
      </c>
      <c r="G120" s="10"/>
      <c r="H120" s="10">
        <v>294204.91460399859</v>
      </c>
      <c r="I120" s="11">
        <v>273939.78547263873</v>
      </c>
      <c r="J120" s="10"/>
      <c r="K120" s="11">
        <v>1.4270926568013884</v>
      </c>
      <c r="L120" s="11"/>
      <c r="M120" s="11">
        <v>5.9361889032390724</v>
      </c>
      <c r="N120" s="11">
        <v>146.0856079626052</v>
      </c>
      <c r="O120" s="10">
        <v>157.98386944643383</v>
      </c>
      <c r="P120" s="10"/>
      <c r="Q120" s="11"/>
      <c r="R120" s="11"/>
      <c r="S120" s="10"/>
      <c r="T120" s="11"/>
      <c r="U120" s="10"/>
      <c r="V120" s="10"/>
      <c r="W120" s="10"/>
      <c r="X120" s="10">
        <v>0.42275012475573498</v>
      </c>
      <c r="Y120" s="11">
        <v>202.7639808691255</v>
      </c>
      <c r="Z120" s="10"/>
      <c r="AA120" s="10"/>
      <c r="AB120" s="10"/>
      <c r="AC120" s="10"/>
      <c r="AD120" s="10"/>
      <c r="AE120" s="10"/>
      <c r="AF120" s="10"/>
      <c r="AG120" s="11">
        <v>15.768797285578254</v>
      </c>
      <c r="AH120" s="11"/>
      <c r="AI120" s="11">
        <v>0.82005520086924866</v>
      </c>
      <c r="AJ120" s="11">
        <v>8.94903838307715E-2</v>
      </c>
      <c r="AK120" s="11">
        <v>0.456353100011751</v>
      </c>
      <c r="AL120" s="11">
        <v>6.7201744361494425E-2</v>
      </c>
      <c r="AM120" s="11">
        <v>1.0926769610716782E-2</v>
      </c>
      <c r="AN120" s="11">
        <v>8.4655674690750887E-2</v>
      </c>
      <c r="AO120" s="11">
        <v>2.1283138592521726E-2</v>
      </c>
      <c r="AP120" s="11">
        <v>8.7867560650219639E-2</v>
      </c>
      <c r="AQ120" s="11">
        <v>2.0030402536631169E-2</v>
      </c>
      <c r="AR120" s="11">
        <v>5.0335388896186363E-2</v>
      </c>
      <c r="AS120" s="11">
        <v>8.2164073524939978E-3</v>
      </c>
      <c r="AT120" s="11">
        <v>4.3359715856533983E-2</v>
      </c>
      <c r="AU120" s="11">
        <v>5.7360170085162454E-3</v>
      </c>
      <c r="AV120" s="10"/>
      <c r="AW120" s="10"/>
      <c r="AX120" s="10"/>
      <c r="AY120" s="10"/>
      <c r="AZ120" s="10">
        <v>1.8588716668253968</v>
      </c>
      <c r="BA120" s="10">
        <v>1.724811220000348</v>
      </c>
      <c r="BB120" s="11">
        <v>1.7149678456505664</v>
      </c>
      <c r="BC120" s="11"/>
      <c r="BD120" s="11">
        <v>1.2103913603149257</v>
      </c>
    </row>
    <row r="121" spans="1:56" x14ac:dyDescent="0.3">
      <c r="A121" t="s">
        <v>232</v>
      </c>
      <c r="B121" t="s">
        <v>59</v>
      </c>
      <c r="C121" s="10">
        <v>11261.473064406802</v>
      </c>
      <c r="D121" s="11">
        <v>3023.8970240806598</v>
      </c>
      <c r="E121" s="10"/>
      <c r="F121" s="10">
        <v>137689.06367545677</v>
      </c>
      <c r="G121" s="10"/>
      <c r="H121" s="10">
        <v>295525.73295602005</v>
      </c>
      <c r="I121" s="11">
        <v>276094.09876342397</v>
      </c>
      <c r="J121" s="10"/>
      <c r="K121" s="11">
        <v>2.7883021891418069</v>
      </c>
      <c r="L121" s="11"/>
      <c r="M121" s="11">
        <v>27.662204198916161</v>
      </c>
      <c r="N121" s="11">
        <v>282.9236461317721</v>
      </c>
      <c r="O121" s="10">
        <v>291.27661913718742</v>
      </c>
      <c r="P121" s="10"/>
      <c r="Q121" s="11"/>
      <c r="R121" s="11"/>
      <c r="S121" s="10"/>
      <c r="T121" s="11"/>
      <c r="U121" s="10"/>
      <c r="V121" s="10"/>
      <c r="W121" s="10"/>
      <c r="X121" s="10">
        <v>0.57290541505576287</v>
      </c>
      <c r="Y121" s="11">
        <v>329.47356941571013</v>
      </c>
      <c r="Z121" s="10"/>
      <c r="AA121" s="10"/>
      <c r="AB121" s="10"/>
      <c r="AC121" s="10"/>
      <c r="AD121" s="10"/>
      <c r="AE121" s="10"/>
      <c r="AF121" s="10"/>
      <c r="AG121" s="11">
        <v>20.904687695468372</v>
      </c>
      <c r="AH121" s="11"/>
      <c r="AI121" s="11">
        <v>1.6870988010763712</v>
      </c>
      <c r="AJ121" s="11">
        <v>0.14826487194665877</v>
      </c>
      <c r="AK121" s="11">
        <v>0.76037001209075838</v>
      </c>
      <c r="AL121" s="11">
        <v>0.14737405792505862</v>
      </c>
      <c r="AM121" s="11">
        <v>3.3062172975418205E-2</v>
      </c>
      <c r="AN121" s="11">
        <v>0.17753747330063566</v>
      </c>
      <c r="AO121" s="11">
        <v>3.5362033997391504E-2</v>
      </c>
      <c r="AP121" s="11">
        <v>0.18150832716156773</v>
      </c>
      <c r="AQ121" s="11">
        <v>3.654642013141525E-2</v>
      </c>
      <c r="AR121" s="11">
        <v>0.11153511674867286</v>
      </c>
      <c r="AS121" s="11">
        <v>1.5262699917827791E-2</v>
      </c>
      <c r="AT121" s="11">
        <v>9.7738315577017829E-2</v>
      </c>
      <c r="AU121" s="11">
        <v>1.3790819593407135E-2</v>
      </c>
      <c r="AV121" s="10"/>
      <c r="AW121" s="10"/>
      <c r="AX121" s="10"/>
      <c r="AY121" s="10"/>
      <c r="AZ121" s="10">
        <v>2.4234834528214599</v>
      </c>
      <c r="BA121" s="10">
        <v>2.1839929868868029</v>
      </c>
      <c r="BB121" s="11">
        <v>2.2091376611806162</v>
      </c>
      <c r="BC121" s="11"/>
      <c r="BD121" s="11">
        <v>4.3933345246638886</v>
      </c>
    </row>
    <row r="122" spans="1:56" x14ac:dyDescent="0.3">
      <c r="A122" t="s">
        <v>233</v>
      </c>
      <c r="B122" t="s">
        <v>59</v>
      </c>
      <c r="C122" s="10">
        <v>11850.018554967417</v>
      </c>
      <c r="D122" s="11">
        <v>2550.7245765955977</v>
      </c>
      <c r="E122" s="10"/>
      <c r="F122" s="10">
        <v>144902.52492575606</v>
      </c>
      <c r="G122" s="10"/>
      <c r="H122" s="10">
        <v>307134.69664690824</v>
      </c>
      <c r="I122" s="11">
        <v>285320.46811541403</v>
      </c>
      <c r="J122" s="10"/>
      <c r="K122" s="11">
        <v>2.9823110519413425</v>
      </c>
      <c r="L122" s="11"/>
      <c r="M122" s="11">
        <v>21.762260310258885</v>
      </c>
      <c r="N122" s="11">
        <v>238.27655928750528</v>
      </c>
      <c r="O122" s="10">
        <v>244.23235739678501</v>
      </c>
      <c r="P122" s="10"/>
      <c r="Q122" s="11"/>
      <c r="R122" s="11"/>
      <c r="S122" s="10"/>
      <c r="T122" s="11"/>
      <c r="U122" s="10"/>
      <c r="V122" s="10"/>
      <c r="W122" s="10"/>
      <c r="X122" s="10">
        <v>0.47083491528436611</v>
      </c>
      <c r="Y122" s="11">
        <v>372.17800207449778</v>
      </c>
      <c r="Z122" s="10"/>
      <c r="AA122" s="10"/>
      <c r="AB122" s="10"/>
      <c r="AC122" s="10"/>
      <c r="AD122" s="10"/>
      <c r="AE122" s="10"/>
      <c r="AF122" s="10"/>
      <c r="AG122" s="11">
        <v>23.275613790914434</v>
      </c>
      <c r="AH122" s="11"/>
      <c r="AI122" s="11">
        <v>1.8290048064417757</v>
      </c>
      <c r="AJ122" s="11">
        <v>0.18893922708385699</v>
      </c>
      <c r="AK122" s="11">
        <v>0.99336761397409556</v>
      </c>
      <c r="AL122" s="11">
        <v>0.17595094479677129</v>
      </c>
      <c r="AM122" s="11">
        <v>3.9976696229991206E-2</v>
      </c>
      <c r="AN122" s="11">
        <v>0.19819955859772367</v>
      </c>
      <c r="AO122" s="11">
        <v>3.9607275363534838E-2</v>
      </c>
      <c r="AP122" s="11">
        <v>0.1895643462688141</v>
      </c>
      <c r="AQ122" s="11">
        <v>3.7491994838430832E-2</v>
      </c>
      <c r="AR122" s="11">
        <v>0.10270542422974374</v>
      </c>
      <c r="AS122" s="11">
        <v>1.1977945307524928E-2</v>
      </c>
      <c r="AT122" s="11">
        <v>7.4600902929673099E-2</v>
      </c>
      <c r="AU122" s="11">
        <v>1.0785956914735233E-2</v>
      </c>
      <c r="AV122" s="10"/>
      <c r="AW122" s="10"/>
      <c r="AX122" s="10"/>
      <c r="AY122" s="10"/>
      <c r="AZ122" s="10">
        <v>4.767249643775612</v>
      </c>
      <c r="BA122" s="10">
        <v>4.4252056753662563</v>
      </c>
      <c r="BB122" s="11">
        <v>4.3730027168066909</v>
      </c>
      <c r="BC122" s="11"/>
      <c r="BD122" s="11">
        <v>4.123735609762524</v>
      </c>
    </row>
    <row r="123" spans="1:56" x14ac:dyDescent="0.3">
      <c r="A123" t="s">
        <v>234</v>
      </c>
      <c r="B123" t="s">
        <v>59</v>
      </c>
      <c r="C123" s="10">
        <v>11619.040659685697</v>
      </c>
      <c r="D123" s="11">
        <v>2417.6682890431671</v>
      </c>
      <c r="E123" s="10"/>
      <c r="F123" s="10">
        <v>127137.28929376983</v>
      </c>
      <c r="G123" s="10"/>
      <c r="H123" s="10">
        <v>266860.83018229797</v>
      </c>
      <c r="I123" s="11">
        <v>247620.16261892216</v>
      </c>
      <c r="J123" s="10"/>
      <c r="K123" s="11">
        <v>1.7089915450857065</v>
      </c>
      <c r="L123" s="11"/>
      <c r="M123" s="11">
        <v>22.327562898156391</v>
      </c>
      <c r="N123" s="11">
        <v>225.73221376084462</v>
      </c>
      <c r="O123" s="10">
        <v>230.62224839278761</v>
      </c>
      <c r="P123" s="10"/>
      <c r="Q123" s="11"/>
      <c r="R123" s="11"/>
      <c r="S123" s="10"/>
      <c r="T123" s="11"/>
      <c r="U123" s="10"/>
      <c r="V123" s="10"/>
      <c r="W123" s="10"/>
      <c r="X123" s="10">
        <v>0.61283795634177196</v>
      </c>
      <c r="Y123" s="11">
        <v>281.13105149339697</v>
      </c>
      <c r="Z123" s="10"/>
      <c r="AA123" s="10"/>
      <c r="AB123" s="10"/>
      <c r="AC123" s="10"/>
      <c r="AD123" s="10"/>
      <c r="AE123" s="10"/>
      <c r="AF123" s="10"/>
      <c r="AG123" s="11">
        <v>19.595479950028047</v>
      </c>
      <c r="AH123" s="11"/>
      <c r="AI123" s="11">
        <v>0.62752719499301224</v>
      </c>
      <c r="AJ123" s="11">
        <v>7.1633001769855653E-2</v>
      </c>
      <c r="AK123" s="11">
        <v>0.43082392236896749</v>
      </c>
      <c r="AL123" s="11">
        <v>5.2948420714197572E-2</v>
      </c>
      <c r="AM123" s="11">
        <v>1.0826884905199032E-2</v>
      </c>
      <c r="AN123" s="11">
        <v>5.41598072087714E-2</v>
      </c>
      <c r="AO123" s="11">
        <v>1.8041697827257633E-2</v>
      </c>
      <c r="AP123" s="11">
        <v>5.2229954148969214E-2</v>
      </c>
      <c r="AQ123" s="11">
        <v>1.0271484639647256E-2</v>
      </c>
      <c r="AR123" s="11">
        <v>3.8386772931172902E-2</v>
      </c>
      <c r="AS123" s="11">
        <v>5.0763637542153277E-3</v>
      </c>
      <c r="AT123" s="11">
        <v>2.5489724569660345E-2</v>
      </c>
      <c r="AU123" s="11">
        <v>2.6544095547731354E-3</v>
      </c>
      <c r="AV123" s="10"/>
      <c r="AW123" s="10"/>
      <c r="AX123" s="10"/>
      <c r="AY123" s="10"/>
      <c r="AZ123" s="10">
        <v>1.8846641835316902</v>
      </c>
      <c r="BA123" s="10">
        <v>1.7125095501389036</v>
      </c>
      <c r="BB123" s="11">
        <v>1.6891089117401521</v>
      </c>
      <c r="BC123" s="11"/>
      <c r="BD123" s="11">
        <v>2.3896844912873894</v>
      </c>
    </row>
    <row r="124" spans="1:56" x14ac:dyDescent="0.3">
      <c r="A124" t="s">
        <v>235</v>
      </c>
      <c r="B124" t="s">
        <v>55</v>
      </c>
      <c r="C124" s="10">
        <v>5649.6373159979694</v>
      </c>
      <c r="D124" s="11">
        <v>2413.2046722035825</v>
      </c>
      <c r="E124" s="10"/>
      <c r="F124" s="10">
        <v>172639.06802726636</v>
      </c>
      <c r="G124" s="10"/>
      <c r="H124" s="10">
        <v>351471.96634126187</v>
      </c>
      <c r="I124" s="11">
        <v>353056.62437401648</v>
      </c>
      <c r="J124" s="10"/>
      <c r="K124" s="11">
        <v>2.4446048739681978</v>
      </c>
      <c r="L124" s="11"/>
      <c r="M124" s="11">
        <v>12.026979537499281</v>
      </c>
      <c r="N124" s="11">
        <v>159.30549321277974</v>
      </c>
      <c r="O124" s="10">
        <v>168.60586842896765</v>
      </c>
      <c r="P124" s="10"/>
      <c r="Q124" s="11"/>
      <c r="R124" s="11">
        <v>6.5617621568701701</v>
      </c>
      <c r="S124" s="10">
        <v>6.3666893053524181</v>
      </c>
      <c r="T124" s="11">
        <v>204.62311111861558</v>
      </c>
      <c r="U124" s="10"/>
      <c r="V124" s="10"/>
      <c r="W124" s="10"/>
      <c r="X124" s="10" t="s">
        <v>114</v>
      </c>
      <c r="Y124" s="11">
        <v>268.40313909158203</v>
      </c>
      <c r="Z124" s="10"/>
      <c r="AA124" s="10"/>
      <c r="AB124" s="10"/>
      <c r="AC124" s="10"/>
      <c r="AD124" s="10"/>
      <c r="AE124" s="10"/>
      <c r="AF124" s="10"/>
      <c r="AG124" s="11">
        <v>6.577843173078227</v>
      </c>
      <c r="AH124" s="11">
        <v>0.50884629640066403</v>
      </c>
      <c r="AI124" s="11">
        <v>1.0257204012579231</v>
      </c>
      <c r="AJ124" s="11">
        <v>0.10360252511861789</v>
      </c>
      <c r="AK124" s="11">
        <v>0.4428092372318671</v>
      </c>
      <c r="AL124" s="11">
        <v>0.10397109399851839</v>
      </c>
      <c r="AM124" s="11">
        <v>2.2811599878240316E-2</v>
      </c>
      <c r="AN124" s="11">
        <v>0.1146800175455535</v>
      </c>
      <c r="AO124" s="11">
        <v>1.8866451318470801E-2</v>
      </c>
      <c r="AP124" s="11">
        <v>0.12188521485367397</v>
      </c>
      <c r="AQ124" s="11">
        <v>2.663153637764509E-2</v>
      </c>
      <c r="AR124" s="11">
        <v>7.0368115237217255E-2</v>
      </c>
      <c r="AS124" s="11">
        <v>9.237244045967501E-3</v>
      </c>
      <c r="AT124" s="11">
        <v>5.588914728227181E-2</v>
      </c>
      <c r="AU124" s="11">
        <v>9.6490645954654571E-3</v>
      </c>
      <c r="AV124" s="10"/>
      <c r="AW124" s="10"/>
      <c r="AX124" s="10"/>
      <c r="AY124" s="10"/>
      <c r="AZ124" s="10">
        <v>1.1578051627864911</v>
      </c>
      <c r="BA124" s="10">
        <v>1.0525438068360879</v>
      </c>
      <c r="BB124" s="11">
        <v>1.099782837395838</v>
      </c>
      <c r="BC124" s="11">
        <v>0.11209901582697336</v>
      </c>
      <c r="BD124" s="11">
        <v>2.547901190378886</v>
      </c>
    </row>
    <row r="125" spans="1:56" x14ac:dyDescent="0.3">
      <c r="A125" t="s">
        <v>236</v>
      </c>
      <c r="B125" t="s">
        <v>55</v>
      </c>
      <c r="C125" s="10">
        <v>5419.4212542176947</v>
      </c>
      <c r="D125" s="11">
        <v>2357.3685618666759</v>
      </c>
      <c r="E125" s="10"/>
      <c r="F125" s="10">
        <v>150214.03183308896</v>
      </c>
      <c r="G125" s="10"/>
      <c r="H125" s="10">
        <v>308050.2416566498</v>
      </c>
      <c r="I125" s="11">
        <v>308127.64912879578</v>
      </c>
      <c r="J125" s="10"/>
      <c r="K125" s="11">
        <v>1.673955249980799</v>
      </c>
      <c r="L125" s="11"/>
      <c r="M125" s="11">
        <v>11.92971055683029</v>
      </c>
      <c r="N125" s="11">
        <v>135.16898141879247</v>
      </c>
      <c r="O125" s="10">
        <v>149.07675539371607</v>
      </c>
      <c r="P125" s="10"/>
      <c r="Q125" s="11"/>
      <c r="R125" s="11">
        <v>3.360273586632347</v>
      </c>
      <c r="S125" s="10">
        <v>3.2796600778471481</v>
      </c>
      <c r="T125" s="11">
        <v>154.04428844972344</v>
      </c>
      <c r="U125" s="10"/>
      <c r="V125" s="10"/>
      <c r="W125" s="10"/>
      <c r="X125" s="10" t="s">
        <v>114</v>
      </c>
      <c r="Y125" s="11">
        <v>229.91581272845136</v>
      </c>
      <c r="Z125" s="10"/>
      <c r="AA125" s="10"/>
      <c r="AB125" s="10"/>
      <c r="AC125" s="10"/>
      <c r="AD125" s="10"/>
      <c r="AE125" s="10"/>
      <c r="AF125" s="10"/>
      <c r="AG125" s="11">
        <v>5.7108806807292938</v>
      </c>
      <c r="AH125" s="11">
        <v>0.64297296354171063</v>
      </c>
      <c r="AI125" s="11">
        <v>1.4198341267642622</v>
      </c>
      <c r="AJ125" s="11">
        <v>0.14389107991022879</v>
      </c>
      <c r="AK125" s="11">
        <v>0.64977244000149958</v>
      </c>
      <c r="AL125" s="11">
        <v>0.15086973255783656</v>
      </c>
      <c r="AM125" s="11">
        <v>2.6900144095453694E-2</v>
      </c>
      <c r="AN125" s="11">
        <v>0.15173875602344536</v>
      </c>
      <c r="AO125" s="11">
        <v>2.565143978681669E-2</v>
      </c>
      <c r="AP125" s="11">
        <v>0.15510459229880805</v>
      </c>
      <c r="AQ125" s="11">
        <v>3.0280593343186744E-2</v>
      </c>
      <c r="AR125" s="11">
        <v>9.8079637818250923E-2</v>
      </c>
      <c r="AS125" s="11">
        <v>1.4142260103800951E-2</v>
      </c>
      <c r="AT125" s="11">
        <v>8.3567959231249503E-2</v>
      </c>
      <c r="AU125" s="11">
        <v>1.5431086816159078E-2</v>
      </c>
      <c r="AV125" s="10"/>
      <c r="AW125" s="10"/>
      <c r="AX125" s="10"/>
      <c r="AY125" s="10"/>
      <c r="AZ125" s="10">
        <v>1.0293819489182261</v>
      </c>
      <c r="BA125" s="10">
        <v>0.94639727974645826</v>
      </c>
      <c r="BB125" s="11">
        <v>0.98194558233878493</v>
      </c>
      <c r="BC125" s="11">
        <v>0.11454951574510569</v>
      </c>
      <c r="BD125" s="11">
        <v>2.1092865473609432</v>
      </c>
    </row>
    <row r="126" spans="1:56" x14ac:dyDescent="0.3">
      <c r="A126" t="s">
        <v>237</v>
      </c>
      <c r="B126" t="s">
        <v>55</v>
      </c>
      <c r="C126" s="10">
        <v>7618.6733063199954</v>
      </c>
      <c r="D126" s="11">
        <v>2996.4177380082529</v>
      </c>
      <c r="E126" s="10"/>
      <c r="F126" s="10">
        <v>194162.30937500278</v>
      </c>
      <c r="G126" s="10"/>
      <c r="H126" s="10">
        <v>405160.34813856136</v>
      </c>
      <c r="I126" s="11">
        <v>400804.54765940423</v>
      </c>
      <c r="J126" s="10"/>
      <c r="K126" s="11">
        <v>2.4484582863257884</v>
      </c>
      <c r="L126" s="11"/>
      <c r="M126" s="11">
        <v>32.638240900083893</v>
      </c>
      <c r="N126" s="11">
        <v>115.36848364367155</v>
      </c>
      <c r="O126" s="10">
        <v>126.63963187157866</v>
      </c>
      <c r="P126" s="10"/>
      <c r="Q126" s="11"/>
      <c r="R126" s="11">
        <v>7.6078337311412119</v>
      </c>
      <c r="S126" s="10">
        <v>7.5184346115290666</v>
      </c>
      <c r="T126" s="11">
        <v>145.17463418381962</v>
      </c>
      <c r="U126" s="10"/>
      <c r="V126" s="10"/>
      <c r="W126" s="10"/>
      <c r="X126" s="10" t="s">
        <v>114</v>
      </c>
      <c r="Y126" s="11">
        <v>494.88256183835284</v>
      </c>
      <c r="Z126" s="10"/>
      <c r="AA126" s="10"/>
      <c r="AB126" s="10"/>
      <c r="AC126" s="10"/>
      <c r="AD126" s="10"/>
      <c r="AE126" s="10"/>
      <c r="AF126" s="10"/>
      <c r="AG126" s="11">
        <v>9.2284207630387591</v>
      </c>
      <c r="AH126" s="11">
        <v>5.0558606899837252E-2</v>
      </c>
      <c r="AI126" s="11">
        <v>8.6755347767920168E-2</v>
      </c>
      <c r="AJ126" s="11" t="s">
        <v>114</v>
      </c>
      <c r="AK126" s="11">
        <v>0.13476054431101467</v>
      </c>
      <c r="AL126" s="11" t="s">
        <v>114</v>
      </c>
      <c r="AM126" s="11" t="s">
        <v>114</v>
      </c>
      <c r="AN126" s="11" t="s">
        <v>114</v>
      </c>
      <c r="AO126" s="11" t="s">
        <v>114</v>
      </c>
      <c r="AP126" s="11" t="s">
        <v>114</v>
      </c>
      <c r="AQ126" s="11" t="s">
        <v>114</v>
      </c>
      <c r="AR126" s="11" t="s">
        <v>114</v>
      </c>
      <c r="AS126" s="11" t="s">
        <v>114</v>
      </c>
      <c r="AT126" s="11" t="s">
        <v>114</v>
      </c>
      <c r="AU126" s="11" t="s">
        <v>114</v>
      </c>
      <c r="AV126" s="10"/>
      <c r="AW126" s="10"/>
      <c r="AX126" s="10"/>
      <c r="AY126" s="10"/>
      <c r="AZ126" s="10">
        <v>2.8920210719174224</v>
      </c>
      <c r="BA126" s="10">
        <v>2.6696927527999379</v>
      </c>
      <c r="BB126" s="11">
        <v>2.763467490895267</v>
      </c>
      <c r="BC126" s="11">
        <v>0.2234615940688732</v>
      </c>
      <c r="BD126" s="11">
        <v>8.3124034828216686</v>
      </c>
    </row>
    <row r="127" spans="1:56" x14ac:dyDescent="0.3">
      <c r="A127" t="s">
        <v>238</v>
      </c>
      <c r="B127" t="s">
        <v>55</v>
      </c>
      <c r="C127" s="10">
        <v>6043.7141151089754</v>
      </c>
      <c r="D127" s="11">
        <v>2522.3475836632865</v>
      </c>
      <c r="E127" s="10"/>
      <c r="F127" s="10">
        <v>164961.02791063918</v>
      </c>
      <c r="G127" s="10"/>
      <c r="H127" s="10">
        <v>347470.98211837054</v>
      </c>
      <c r="I127" s="11">
        <v>339749.53667899163</v>
      </c>
      <c r="J127" s="10"/>
      <c r="K127" s="11" t="s">
        <v>114</v>
      </c>
      <c r="L127" s="11"/>
      <c r="M127" s="11">
        <v>6.3901388996035005</v>
      </c>
      <c r="N127" s="11">
        <v>77.881770881478545</v>
      </c>
      <c r="O127" s="10">
        <v>92.182811007114893</v>
      </c>
      <c r="P127" s="10"/>
      <c r="Q127" s="11"/>
      <c r="R127" s="11">
        <v>12.533799153835595</v>
      </c>
      <c r="S127" s="10">
        <v>12.805952200961361</v>
      </c>
      <c r="T127" s="11">
        <v>173.39729120908316</v>
      </c>
      <c r="U127" s="10"/>
      <c r="V127" s="10"/>
      <c r="W127" s="10"/>
      <c r="X127" s="10" t="s">
        <v>114</v>
      </c>
      <c r="Y127" s="11">
        <v>195.22753904474845</v>
      </c>
      <c r="Z127" s="10"/>
      <c r="AA127" s="10"/>
      <c r="AB127" s="10"/>
      <c r="AC127" s="10"/>
      <c r="AD127" s="10"/>
      <c r="AE127" s="10"/>
      <c r="AF127" s="10"/>
      <c r="AG127" s="11">
        <v>3.3420276937972067</v>
      </c>
      <c r="AH127" s="11">
        <v>0.14240383654780739</v>
      </c>
      <c r="AI127" s="11">
        <v>0.26026401553062833</v>
      </c>
      <c r="AJ127" s="11">
        <v>2.4653724244683827E-2</v>
      </c>
      <c r="AK127" s="11">
        <v>0.11835583353603617</v>
      </c>
      <c r="AL127" s="11" t="s">
        <v>114</v>
      </c>
      <c r="AM127" s="11" t="s">
        <v>114</v>
      </c>
      <c r="AN127" s="11">
        <v>3.5346332875679225E-2</v>
      </c>
      <c r="AO127" s="11">
        <v>7.3990949032898745E-3</v>
      </c>
      <c r="AP127" s="11" t="s">
        <v>114</v>
      </c>
      <c r="AQ127" s="11" t="s">
        <v>114</v>
      </c>
      <c r="AR127" s="11">
        <v>1.9314318690685613E-2</v>
      </c>
      <c r="AS127" s="11" t="s">
        <v>114</v>
      </c>
      <c r="AT127" s="11" t="s">
        <v>114</v>
      </c>
      <c r="AU127" s="11" t="s">
        <v>114</v>
      </c>
      <c r="AV127" s="10"/>
      <c r="AW127" s="10"/>
      <c r="AX127" s="10"/>
      <c r="AY127" s="10"/>
      <c r="AZ127" s="10">
        <v>0.33057692249036968</v>
      </c>
      <c r="BA127" s="10">
        <v>0.27943831785121392</v>
      </c>
      <c r="BB127" s="11">
        <v>0.30228166410821733</v>
      </c>
      <c r="BC127" s="11">
        <v>0.16850773940967656</v>
      </c>
      <c r="BD127" s="11">
        <v>0.1836247643118023</v>
      </c>
    </row>
    <row r="128" spans="1:56" x14ac:dyDescent="0.3">
      <c r="A128" t="s">
        <v>239</v>
      </c>
      <c r="B128" t="s">
        <v>55</v>
      </c>
      <c r="C128" s="10">
        <v>6703.7951393916574</v>
      </c>
      <c r="D128" s="11">
        <v>2296.4204230444716</v>
      </c>
      <c r="E128" s="10"/>
      <c r="F128" s="10">
        <v>167525.0503694879</v>
      </c>
      <c r="G128" s="10"/>
      <c r="H128" s="10">
        <v>344226.66120036243</v>
      </c>
      <c r="I128" s="11">
        <v>339949.05679560016</v>
      </c>
      <c r="J128" s="10"/>
      <c r="K128" s="11">
        <v>0.6168206077703563</v>
      </c>
      <c r="L128" s="11"/>
      <c r="M128" s="11">
        <v>26.126326788628226</v>
      </c>
      <c r="N128" s="11">
        <v>84.318581691535059</v>
      </c>
      <c r="O128" s="10">
        <v>97.293714578768402</v>
      </c>
      <c r="P128" s="10"/>
      <c r="Q128" s="11"/>
      <c r="R128" s="11">
        <v>10.556404769506839</v>
      </c>
      <c r="S128" s="10">
        <v>10.593028477891016</v>
      </c>
      <c r="T128" s="11">
        <v>273.18319137780168</v>
      </c>
      <c r="U128" s="10"/>
      <c r="V128" s="10"/>
      <c r="W128" s="10"/>
      <c r="X128" s="10" t="s">
        <v>114</v>
      </c>
      <c r="Y128" s="11">
        <v>166.63587647963695</v>
      </c>
      <c r="Z128" s="10"/>
      <c r="AA128" s="10"/>
      <c r="AB128" s="10"/>
      <c r="AC128" s="10"/>
      <c r="AD128" s="10"/>
      <c r="AE128" s="10"/>
      <c r="AF128" s="10"/>
      <c r="AG128" s="11">
        <v>3.5743826827524803</v>
      </c>
      <c r="AH128" s="11">
        <v>0.59265713785344132</v>
      </c>
      <c r="AI128" s="11">
        <v>1.11900478822647</v>
      </c>
      <c r="AJ128" s="11">
        <v>0.11332891410401735</v>
      </c>
      <c r="AK128" s="11">
        <v>0.53013842363313546</v>
      </c>
      <c r="AL128" s="11">
        <v>0.10991014491863534</v>
      </c>
      <c r="AM128" s="11">
        <v>2.6049789805515231E-2</v>
      </c>
      <c r="AN128" s="11">
        <v>0.11695311041579844</v>
      </c>
      <c r="AO128" s="11">
        <v>2.1248429564406736E-2</v>
      </c>
      <c r="AP128" s="11">
        <v>0.14322555555879196</v>
      </c>
      <c r="AQ128" s="11">
        <v>2.7087397638237715E-2</v>
      </c>
      <c r="AR128" s="11">
        <v>8.6750140923127786E-2</v>
      </c>
      <c r="AS128" s="11">
        <v>1.4222122022501242E-2</v>
      </c>
      <c r="AT128" s="11">
        <v>9.4451554549634914E-2</v>
      </c>
      <c r="AU128" s="11">
        <v>1.189918114576205E-2</v>
      </c>
      <c r="AV128" s="10"/>
      <c r="AW128" s="10"/>
      <c r="AX128" s="10"/>
      <c r="AY128" s="10"/>
      <c r="AZ128" s="10">
        <v>2.561052369293737</v>
      </c>
      <c r="BA128" s="10">
        <v>2.3037522521237879</v>
      </c>
      <c r="BB128" s="11">
        <v>2.4291339642791616</v>
      </c>
      <c r="BC128" s="11">
        <v>0.15144562373223722</v>
      </c>
      <c r="BD128" s="11">
        <v>1.3623936753643275</v>
      </c>
    </row>
    <row r="129" spans="1:56" x14ac:dyDescent="0.3">
      <c r="A129" t="s">
        <v>240</v>
      </c>
      <c r="B129" t="s">
        <v>55</v>
      </c>
      <c r="C129" s="10">
        <v>8378.5158605286615</v>
      </c>
      <c r="D129" s="11">
        <v>3894.2724045607247</v>
      </c>
      <c r="E129" s="10"/>
      <c r="F129" s="10">
        <v>241322.36623970215</v>
      </c>
      <c r="G129" s="10"/>
      <c r="H129" s="10">
        <v>502471.63337058207</v>
      </c>
      <c r="I129" s="11">
        <v>495242.88271642214</v>
      </c>
      <c r="J129" s="10"/>
      <c r="K129" s="11">
        <v>1.66003121687225</v>
      </c>
      <c r="L129" s="11"/>
      <c r="M129" s="11">
        <v>55.612097117745499</v>
      </c>
      <c r="N129" s="11">
        <v>184.88440935925522</v>
      </c>
      <c r="O129" s="10">
        <v>194.49468106984406</v>
      </c>
      <c r="P129" s="10"/>
      <c r="Q129" s="11"/>
      <c r="R129" s="11">
        <v>6.9274432484574513</v>
      </c>
      <c r="S129" s="10">
        <v>6.6171844812397884</v>
      </c>
      <c r="T129" s="11">
        <v>338.66585664696152</v>
      </c>
      <c r="U129" s="10"/>
      <c r="V129" s="10"/>
      <c r="W129" s="10"/>
      <c r="X129" s="10" t="s">
        <v>114</v>
      </c>
      <c r="Y129" s="11">
        <v>276.55700770965149</v>
      </c>
      <c r="Z129" s="10"/>
      <c r="AA129" s="10"/>
      <c r="AB129" s="10"/>
      <c r="AC129" s="10"/>
      <c r="AD129" s="10"/>
      <c r="AE129" s="10"/>
      <c r="AF129" s="10"/>
      <c r="AG129" s="11">
        <v>6.0614975018542783</v>
      </c>
      <c r="AH129" s="11">
        <v>0.75885781509757422</v>
      </c>
      <c r="AI129" s="11">
        <v>1.5221903468824221</v>
      </c>
      <c r="AJ129" s="11">
        <v>0.17362449154008952</v>
      </c>
      <c r="AK129" s="11">
        <v>0.79709923645423653</v>
      </c>
      <c r="AL129" s="11">
        <v>0.17597434424531092</v>
      </c>
      <c r="AM129" s="11">
        <v>3.3095708056069463E-2</v>
      </c>
      <c r="AN129" s="11">
        <v>0.17934533276442924</v>
      </c>
      <c r="AO129" s="11">
        <v>2.6960828340743703E-2</v>
      </c>
      <c r="AP129" s="11">
        <v>0.14093578508808302</v>
      </c>
      <c r="AQ129" s="11">
        <v>2.7136223716764638E-2</v>
      </c>
      <c r="AR129" s="11">
        <v>9.195822229854124E-2</v>
      </c>
      <c r="AS129" s="11">
        <v>1.1203909711248601E-2</v>
      </c>
      <c r="AT129" s="11">
        <v>7.1726027747704937E-2</v>
      </c>
      <c r="AU129" s="11">
        <v>9.65062961816655E-3</v>
      </c>
      <c r="AV129" s="10"/>
      <c r="AW129" s="10"/>
      <c r="AX129" s="10"/>
      <c r="AY129" s="10"/>
      <c r="AZ129" s="10">
        <v>1.489105459652124</v>
      </c>
      <c r="BA129" s="10">
        <v>1.3458880162250444</v>
      </c>
      <c r="BB129" s="11">
        <v>1.4081086333777504</v>
      </c>
      <c r="BC129" s="11">
        <v>0.16023479561340609</v>
      </c>
      <c r="BD129" s="11">
        <v>1.9165327993399657</v>
      </c>
    </row>
    <row r="130" spans="1:56" x14ac:dyDescent="0.3">
      <c r="A130" t="s">
        <v>241</v>
      </c>
      <c r="B130" t="s">
        <v>55</v>
      </c>
      <c r="C130" s="10">
        <v>6813.1643548389429</v>
      </c>
      <c r="D130" s="11">
        <v>2746.9097705516192</v>
      </c>
      <c r="E130" s="10"/>
      <c r="F130" s="10">
        <v>196396.7095462211</v>
      </c>
      <c r="G130" s="10"/>
      <c r="H130" s="10">
        <v>409234.73030985927</v>
      </c>
      <c r="I130" s="11">
        <v>404831.24079990049</v>
      </c>
      <c r="J130" s="10"/>
      <c r="K130" s="11">
        <v>1.9418388679316112</v>
      </c>
      <c r="L130" s="11"/>
      <c r="M130" s="11">
        <v>212.10340808469309</v>
      </c>
      <c r="N130" s="11">
        <v>73.210458173154578</v>
      </c>
      <c r="O130" s="10">
        <v>87.830190781329009</v>
      </c>
      <c r="P130" s="10"/>
      <c r="Q130" s="11"/>
      <c r="R130" s="11">
        <v>18.67229777111881</v>
      </c>
      <c r="S130" s="10">
        <v>18.345209743492202</v>
      </c>
      <c r="T130" s="11">
        <v>356.87196768924883</v>
      </c>
      <c r="U130" s="10"/>
      <c r="V130" s="10"/>
      <c r="W130" s="10"/>
      <c r="X130" s="10" t="s">
        <v>114</v>
      </c>
      <c r="Y130" s="11">
        <v>472.02146417253289</v>
      </c>
      <c r="Z130" s="10"/>
      <c r="AA130" s="10"/>
      <c r="AB130" s="10"/>
      <c r="AC130" s="10"/>
      <c r="AD130" s="10"/>
      <c r="AE130" s="10"/>
      <c r="AF130" s="10"/>
      <c r="AG130" s="11">
        <v>11.570944427755112</v>
      </c>
      <c r="AH130" s="11">
        <v>0.37239511621124988</v>
      </c>
      <c r="AI130" s="11">
        <v>0.76213222537957526</v>
      </c>
      <c r="AJ130" s="11">
        <v>8.6406356127276471E-2</v>
      </c>
      <c r="AK130" s="11">
        <v>0.41960136426016897</v>
      </c>
      <c r="AL130" s="11">
        <v>8.1228809363377369E-2</v>
      </c>
      <c r="AM130" s="11">
        <v>1.7160766036399468E-2</v>
      </c>
      <c r="AN130" s="11">
        <v>7.7421783841294681E-2</v>
      </c>
      <c r="AO130" s="11">
        <v>1.5206764112040657E-2</v>
      </c>
      <c r="AP130" s="11">
        <v>7.8681821329262561E-2</v>
      </c>
      <c r="AQ130" s="11">
        <v>1.5719648131537471E-2</v>
      </c>
      <c r="AR130" s="11">
        <v>5.2939176331905223E-2</v>
      </c>
      <c r="AS130" s="11">
        <v>5.9971162969473836E-3</v>
      </c>
      <c r="AT130" s="11">
        <v>3.8215285709046455E-2</v>
      </c>
      <c r="AU130" s="11">
        <v>6.4088289124504599E-3</v>
      </c>
      <c r="AV130" s="10"/>
      <c r="AW130" s="10"/>
      <c r="AX130" s="10"/>
      <c r="AY130" s="10"/>
      <c r="AZ130" s="10">
        <v>5.4286119376754458</v>
      </c>
      <c r="BA130" s="10">
        <v>5.0082432641185441</v>
      </c>
      <c r="BB130" s="11">
        <v>5.1614282385210251</v>
      </c>
      <c r="BC130" s="11">
        <v>0.14718585516714591</v>
      </c>
      <c r="BD130" s="11">
        <v>7.5413794372444496</v>
      </c>
    </row>
    <row r="131" spans="1:56" x14ac:dyDescent="0.3">
      <c r="A131" t="s">
        <v>242</v>
      </c>
      <c r="B131" t="s">
        <v>55</v>
      </c>
      <c r="C131" s="10">
        <v>6701.1756597231897</v>
      </c>
      <c r="D131" s="11">
        <v>2462.2515943894655</v>
      </c>
      <c r="E131" s="10"/>
      <c r="F131" s="10">
        <v>160806.40798431149</v>
      </c>
      <c r="G131" s="10"/>
      <c r="H131" s="10">
        <v>331998.93903863966</v>
      </c>
      <c r="I131" s="11">
        <v>326980.57106683485</v>
      </c>
      <c r="J131" s="10"/>
      <c r="K131" s="11" t="s">
        <v>114</v>
      </c>
      <c r="L131" s="11"/>
      <c r="M131" s="11">
        <v>7.4516452401890438</v>
      </c>
      <c r="N131" s="11">
        <v>110.10561015527733</v>
      </c>
      <c r="O131" s="10">
        <v>118.81755956233093</v>
      </c>
      <c r="P131" s="10"/>
      <c r="Q131" s="11"/>
      <c r="R131" s="11">
        <v>3.2093403573140664</v>
      </c>
      <c r="S131" s="10">
        <v>3.1391993631487227</v>
      </c>
      <c r="T131" s="11">
        <v>233.37673768978851</v>
      </c>
      <c r="U131" s="10"/>
      <c r="V131" s="10"/>
      <c r="W131" s="10"/>
      <c r="X131" s="10" t="s">
        <v>114</v>
      </c>
      <c r="Y131" s="11">
        <v>125.96307734493067</v>
      </c>
      <c r="Z131" s="10"/>
      <c r="AA131" s="10"/>
      <c r="AB131" s="10"/>
      <c r="AC131" s="10"/>
      <c r="AD131" s="10"/>
      <c r="AE131" s="10"/>
      <c r="AF131" s="10"/>
      <c r="AG131" s="11">
        <v>1.5536055400235027</v>
      </c>
      <c r="AH131" s="11">
        <v>0.40149514316926405</v>
      </c>
      <c r="AI131" s="11">
        <v>0.79260178296213935</v>
      </c>
      <c r="AJ131" s="11">
        <v>8.330168531147536E-2</v>
      </c>
      <c r="AK131" s="11">
        <v>0.36657322762970401</v>
      </c>
      <c r="AL131" s="11">
        <v>7.1053844647194372E-2</v>
      </c>
      <c r="AM131" s="11">
        <v>2.0015325898073429E-2</v>
      </c>
      <c r="AN131" s="11">
        <v>8.1791173639414669E-2</v>
      </c>
      <c r="AO131" s="11">
        <v>1.5377055770243606E-2</v>
      </c>
      <c r="AP131" s="11">
        <v>8.7362896419842587E-2</v>
      </c>
      <c r="AQ131" s="11">
        <v>1.7254329471847789E-2</v>
      </c>
      <c r="AR131" s="11">
        <v>4.6103688501695064E-2</v>
      </c>
      <c r="AS131" s="11">
        <v>6.5711576262477049E-3</v>
      </c>
      <c r="AT131" s="11">
        <v>4.1278189570628121E-2</v>
      </c>
      <c r="AU131" s="11">
        <v>7.6484857214499683E-3</v>
      </c>
      <c r="AV131" s="10"/>
      <c r="AW131" s="10"/>
      <c r="AX131" s="10"/>
      <c r="AY131" s="10"/>
      <c r="AZ131" s="10">
        <v>1.578969270911089</v>
      </c>
      <c r="BA131" s="10">
        <v>1.4562400269751254</v>
      </c>
      <c r="BB131" s="11">
        <v>1.4723899117910013</v>
      </c>
      <c r="BC131" s="11">
        <v>0.12625730998024057</v>
      </c>
      <c r="BD131" s="11">
        <v>0.6411242491728848</v>
      </c>
    </row>
    <row r="132" spans="1:56" x14ac:dyDescent="0.3">
      <c r="A132" t="s">
        <v>243</v>
      </c>
      <c r="B132" t="s">
        <v>55</v>
      </c>
      <c r="C132" s="10">
        <v>4103.8401845866547</v>
      </c>
      <c r="D132" s="11">
        <v>1580.3044171450899</v>
      </c>
      <c r="E132" s="10"/>
      <c r="F132" s="10">
        <v>133424.12365452677</v>
      </c>
      <c r="G132" s="10"/>
      <c r="H132" s="10">
        <v>280993.26790294144</v>
      </c>
      <c r="I132" s="11">
        <v>278309.54037280247</v>
      </c>
      <c r="J132" s="10"/>
      <c r="K132" s="11">
        <v>2.0370853694518694</v>
      </c>
      <c r="L132" s="11"/>
      <c r="M132" s="11">
        <v>18.724268408487021</v>
      </c>
      <c r="N132" s="11">
        <v>473.46796405512356</v>
      </c>
      <c r="O132" s="10">
        <v>484.1748596218473</v>
      </c>
      <c r="P132" s="10"/>
      <c r="Q132" s="11"/>
      <c r="R132" s="11">
        <v>10.865262140919535</v>
      </c>
      <c r="S132" s="10">
        <v>10.986354763728087</v>
      </c>
      <c r="T132" s="11">
        <v>282.46347100859481</v>
      </c>
      <c r="U132" s="10"/>
      <c r="V132" s="10"/>
      <c r="W132" s="10"/>
      <c r="X132" s="10">
        <v>0.6403737907805358</v>
      </c>
      <c r="Y132" s="11">
        <v>255.92076286816959</v>
      </c>
      <c r="Z132" s="10"/>
      <c r="AA132" s="10"/>
      <c r="AB132" s="10"/>
      <c r="AC132" s="10"/>
      <c r="AD132" s="10"/>
      <c r="AE132" s="10"/>
      <c r="AF132" s="10"/>
      <c r="AG132" s="11">
        <v>214.62864747672708</v>
      </c>
      <c r="AH132" s="11">
        <v>11.909396997258815</v>
      </c>
      <c r="AI132" s="11">
        <v>6.8187626378181356</v>
      </c>
      <c r="AJ132" s="11">
        <v>2.9794438544836317</v>
      </c>
      <c r="AK132" s="11">
        <v>14.710251892696364</v>
      </c>
      <c r="AL132" s="11">
        <v>3.4489280033651579</v>
      </c>
      <c r="AM132" s="11">
        <v>0.86478258779996586</v>
      </c>
      <c r="AN132" s="11">
        <v>4.4259516228242086</v>
      </c>
      <c r="AO132" s="11">
        <v>0.61086254018687836</v>
      </c>
      <c r="AP132" s="11">
        <v>3.6035796980030619</v>
      </c>
      <c r="AQ132" s="11">
        <v>0.71611890281356017</v>
      </c>
      <c r="AR132" s="11">
        <v>1.7600751078863446</v>
      </c>
      <c r="AS132" s="11">
        <v>0.21152296321900807</v>
      </c>
      <c r="AT132" s="11">
        <v>1.1999284277330899</v>
      </c>
      <c r="AU132" s="11">
        <v>0.17765402952064543</v>
      </c>
      <c r="AV132" s="10"/>
      <c r="AW132" s="10"/>
      <c r="AX132" s="10"/>
      <c r="AY132" s="10"/>
      <c r="AZ132" s="10">
        <v>4.4749766154647057</v>
      </c>
      <c r="BA132" s="10">
        <v>4.0866320484019658</v>
      </c>
      <c r="BB132" s="11">
        <v>4.2125991261074596</v>
      </c>
      <c r="BC132" s="11">
        <v>0.25538693124441836</v>
      </c>
      <c r="BD132" s="11">
        <v>1.5377671082017046</v>
      </c>
    </row>
    <row r="133" spans="1:56" x14ac:dyDescent="0.3">
      <c r="A133" t="s">
        <v>244</v>
      </c>
      <c r="B133" t="s">
        <v>55</v>
      </c>
      <c r="C133" s="10">
        <v>5610.2670605036074</v>
      </c>
      <c r="D133" s="11">
        <v>2325.9949366466894</v>
      </c>
      <c r="E133" s="10"/>
      <c r="F133" s="10">
        <v>135174.53519903688</v>
      </c>
      <c r="G133" s="10"/>
      <c r="H133" s="10">
        <v>291013.01579737623</v>
      </c>
      <c r="I133" s="11">
        <v>288320.72060927801</v>
      </c>
      <c r="J133" s="10"/>
      <c r="K133" s="11">
        <v>5.4653450064712619</v>
      </c>
      <c r="L133" s="11"/>
      <c r="M133" s="11">
        <v>190.41766690803345</v>
      </c>
      <c r="N133" s="11">
        <v>508.15843443880732</v>
      </c>
      <c r="O133" s="10">
        <v>524.40673830969854</v>
      </c>
      <c r="P133" s="10"/>
      <c r="Q133" s="11"/>
      <c r="R133" s="11">
        <v>8.1203005673941568</v>
      </c>
      <c r="S133" s="10">
        <v>7.8368090506839811</v>
      </c>
      <c r="T133" s="11">
        <v>129.09124956213498</v>
      </c>
      <c r="U133" s="10"/>
      <c r="V133" s="10"/>
      <c r="W133" s="10"/>
      <c r="X133" s="10" t="s">
        <v>114</v>
      </c>
      <c r="Y133" s="11">
        <v>599.58779347473899</v>
      </c>
      <c r="Z133" s="10"/>
      <c r="AA133" s="10"/>
      <c r="AB133" s="10"/>
      <c r="AC133" s="10"/>
      <c r="AD133" s="10"/>
      <c r="AE133" s="10"/>
      <c r="AF133" s="10"/>
      <c r="AG133" s="11">
        <v>14.549735547124186</v>
      </c>
      <c r="AH133" s="11">
        <v>0.60891467695293133</v>
      </c>
      <c r="AI133" s="11">
        <v>1.3983968645999594</v>
      </c>
      <c r="AJ133" s="11">
        <v>0.12225099454834408</v>
      </c>
      <c r="AK133" s="11">
        <v>0.56867563969666324</v>
      </c>
      <c r="AL133" s="11">
        <v>0.11827003918276138</v>
      </c>
      <c r="AM133" s="11">
        <v>2.2093193003665464E-2</v>
      </c>
      <c r="AN133" s="11">
        <v>0.13061627028845285</v>
      </c>
      <c r="AO133" s="11">
        <v>2.1857288057161469E-2</v>
      </c>
      <c r="AP133" s="11">
        <v>0.14824793290951194</v>
      </c>
      <c r="AQ133" s="11">
        <v>2.9721446821206407E-2</v>
      </c>
      <c r="AR133" s="11">
        <v>9.6891185186817719E-2</v>
      </c>
      <c r="AS133" s="11">
        <v>1.3416621116715257E-2</v>
      </c>
      <c r="AT133" s="11">
        <v>7.1618211627580086E-2</v>
      </c>
      <c r="AU133" s="11">
        <v>1.1235685340574742E-2</v>
      </c>
      <c r="AV133" s="10"/>
      <c r="AW133" s="10"/>
      <c r="AX133" s="10"/>
      <c r="AY133" s="10"/>
      <c r="AZ133" s="10">
        <v>2.2485707271778033</v>
      </c>
      <c r="BA133" s="10">
        <v>2.0140913233544384</v>
      </c>
      <c r="BB133" s="11">
        <v>2.0980907044812591</v>
      </c>
      <c r="BC133" s="11">
        <v>0.14324554846352974</v>
      </c>
      <c r="BD133" s="11">
        <v>11.054428836677717</v>
      </c>
    </row>
    <row r="134" spans="1:56" x14ac:dyDescent="0.3">
      <c r="A134" t="s">
        <v>245</v>
      </c>
      <c r="B134" t="s">
        <v>55</v>
      </c>
      <c r="C134" s="10">
        <v>7174.3506604617642</v>
      </c>
      <c r="D134" s="11">
        <v>2706.914610202537</v>
      </c>
      <c r="E134" s="10"/>
      <c r="F134" s="10">
        <v>163898.32048804517</v>
      </c>
      <c r="G134" s="10"/>
      <c r="H134" s="10">
        <v>337423.85172153934</v>
      </c>
      <c r="I134" s="11">
        <v>334973.57468496094</v>
      </c>
      <c r="J134" s="10"/>
      <c r="K134" s="11">
        <v>1.2756360781038072</v>
      </c>
      <c r="L134" s="11"/>
      <c r="M134" s="11">
        <v>71.468448802685785</v>
      </c>
      <c r="N134" s="11">
        <v>123.58877953622684</v>
      </c>
      <c r="O134" s="10">
        <v>131.56352333400039</v>
      </c>
      <c r="P134" s="10"/>
      <c r="Q134" s="11"/>
      <c r="R134" s="11">
        <v>4.4043824694942986</v>
      </c>
      <c r="S134" s="10">
        <v>4.5910246534830312</v>
      </c>
      <c r="T134" s="11">
        <v>109.67467775290707</v>
      </c>
      <c r="U134" s="10"/>
      <c r="V134" s="10"/>
      <c r="W134" s="10"/>
      <c r="X134" s="10" t="s">
        <v>114</v>
      </c>
      <c r="Y134" s="11">
        <v>222.77889823441222</v>
      </c>
      <c r="Z134" s="10"/>
      <c r="AA134" s="10"/>
      <c r="AB134" s="10"/>
      <c r="AC134" s="10"/>
      <c r="AD134" s="10"/>
      <c r="AE134" s="10"/>
      <c r="AF134" s="10"/>
      <c r="AG134" s="11">
        <v>6.0789631517362031</v>
      </c>
      <c r="AH134" s="11">
        <v>0.34291106227260187</v>
      </c>
      <c r="AI134" s="11">
        <v>0.76927289216939621</v>
      </c>
      <c r="AJ134" s="11">
        <v>7.7728913412170544E-2</v>
      </c>
      <c r="AK134" s="11">
        <v>0.29323269792145207</v>
      </c>
      <c r="AL134" s="11">
        <v>7.3951237688289539E-2</v>
      </c>
      <c r="AM134" s="11">
        <v>1.6451989269139874E-2</v>
      </c>
      <c r="AN134" s="11">
        <v>8.3710982695380021E-2</v>
      </c>
      <c r="AO134" s="11">
        <v>1.0330195066913262E-2</v>
      </c>
      <c r="AP134" s="11">
        <v>7.6754980603909687E-2</v>
      </c>
      <c r="AQ134" s="11">
        <v>1.5325932887845064E-2</v>
      </c>
      <c r="AR134" s="11">
        <v>4.1519980669056676E-2</v>
      </c>
      <c r="AS134" s="11">
        <v>5.307262535612845E-3</v>
      </c>
      <c r="AT134" s="11">
        <v>3.8985924268489944E-2</v>
      </c>
      <c r="AU134" s="11">
        <v>4.2127698158562175E-3</v>
      </c>
      <c r="AV134" s="10"/>
      <c r="AW134" s="10"/>
      <c r="AX134" s="10"/>
      <c r="AY134" s="10"/>
      <c r="AZ134" s="10">
        <v>1.2025350684142955</v>
      </c>
      <c r="BA134" s="10">
        <v>1.0951630045626641</v>
      </c>
      <c r="BB134" s="11">
        <v>1.1364847598191012</v>
      </c>
      <c r="BC134" s="11">
        <v>0.10546142253796408</v>
      </c>
      <c r="BD134" s="11">
        <v>1.7106565059408987</v>
      </c>
    </row>
    <row r="135" spans="1:56" x14ac:dyDescent="0.3">
      <c r="A135" t="s">
        <v>246</v>
      </c>
      <c r="B135" t="s">
        <v>55</v>
      </c>
      <c r="C135" s="10">
        <v>7807.8369105607217</v>
      </c>
      <c r="D135" s="11">
        <v>2632.4753624464129</v>
      </c>
      <c r="E135" s="10"/>
      <c r="F135" s="10">
        <v>168791.48685306017</v>
      </c>
      <c r="G135" s="10"/>
      <c r="H135" s="10">
        <v>344893.22343649447</v>
      </c>
      <c r="I135" s="11">
        <v>345103.37647746957</v>
      </c>
      <c r="J135" s="10"/>
      <c r="K135" s="11">
        <v>2.1162437542074635</v>
      </c>
      <c r="L135" s="11"/>
      <c r="M135" s="11">
        <v>63.283871171717514</v>
      </c>
      <c r="N135" s="11">
        <v>154.35925637758544</v>
      </c>
      <c r="O135" s="10">
        <v>161.73268670371138</v>
      </c>
      <c r="P135" s="10"/>
      <c r="Q135" s="11"/>
      <c r="R135" s="11">
        <v>6.3299062726818889</v>
      </c>
      <c r="S135" s="10">
        <v>6.0549569469429105</v>
      </c>
      <c r="T135" s="11">
        <v>237.915797345708</v>
      </c>
      <c r="U135" s="10"/>
      <c r="V135" s="10"/>
      <c r="W135" s="10"/>
      <c r="X135" s="10" t="s">
        <v>114</v>
      </c>
      <c r="Y135" s="11">
        <v>263.64865012114166</v>
      </c>
      <c r="Z135" s="10"/>
      <c r="AA135" s="10"/>
      <c r="AB135" s="10"/>
      <c r="AC135" s="10"/>
      <c r="AD135" s="10"/>
      <c r="AE135" s="10"/>
      <c r="AF135" s="10"/>
      <c r="AG135" s="11">
        <v>5.5022366392316782</v>
      </c>
      <c r="AH135" s="11">
        <v>1.2662173948384459</v>
      </c>
      <c r="AI135" s="11">
        <v>2.6970245931248784</v>
      </c>
      <c r="AJ135" s="11">
        <v>0.2885738305480624</v>
      </c>
      <c r="AK135" s="11">
        <v>1.1836091002653841</v>
      </c>
      <c r="AL135" s="11">
        <v>0.23386793582049706</v>
      </c>
      <c r="AM135" s="11">
        <v>5.4800552837704103E-2</v>
      </c>
      <c r="AN135" s="11">
        <v>0.28597176174749267</v>
      </c>
      <c r="AO135" s="11">
        <v>4.6185611401338117E-2</v>
      </c>
      <c r="AP135" s="11">
        <v>0.30143614572244398</v>
      </c>
      <c r="AQ135" s="11">
        <v>5.8253153224260695E-2</v>
      </c>
      <c r="AR135" s="11">
        <v>0.15605929707407493</v>
      </c>
      <c r="AS135" s="11">
        <v>1.9708918376737043E-2</v>
      </c>
      <c r="AT135" s="11">
        <v>0.12591787171441732</v>
      </c>
      <c r="AU135" s="11">
        <v>1.8062862282412256E-2</v>
      </c>
      <c r="AV135" s="10"/>
      <c r="AW135" s="10"/>
      <c r="AX135" s="10"/>
      <c r="AY135" s="10"/>
      <c r="AZ135" s="10">
        <v>3.0214863769300613</v>
      </c>
      <c r="BA135" s="10">
        <v>2.6994938474231218</v>
      </c>
      <c r="BB135" s="11">
        <v>2.8316155357211836</v>
      </c>
      <c r="BC135" s="11">
        <v>0.16025025918420005</v>
      </c>
      <c r="BD135" s="11">
        <v>1.7854635588109957</v>
      </c>
    </row>
    <row r="136" spans="1:56" x14ac:dyDescent="0.3">
      <c r="A136" t="s">
        <v>247</v>
      </c>
      <c r="B136" t="s">
        <v>55</v>
      </c>
      <c r="C136" s="10">
        <v>6550.6969941156049</v>
      </c>
      <c r="D136" s="11">
        <v>2298.3257768842013</v>
      </c>
      <c r="E136" s="10"/>
      <c r="F136" s="10">
        <v>158665.92122678328</v>
      </c>
      <c r="G136" s="10"/>
      <c r="H136" s="10">
        <v>324957.22123283445</v>
      </c>
      <c r="I136" s="11">
        <v>322526.53462788102</v>
      </c>
      <c r="J136" s="10"/>
      <c r="K136" s="11">
        <v>1.9827410991893255</v>
      </c>
      <c r="L136" s="11"/>
      <c r="M136" s="11">
        <v>60.560194821247258</v>
      </c>
      <c r="N136" s="11">
        <v>41.837176836062909</v>
      </c>
      <c r="O136" s="10">
        <v>55.381972610067685</v>
      </c>
      <c r="P136" s="10"/>
      <c r="Q136" s="11"/>
      <c r="R136" s="11">
        <v>8.180725820986769</v>
      </c>
      <c r="S136" s="10">
        <v>8.1792506732528931</v>
      </c>
      <c r="T136" s="11">
        <v>166.96216562615962</v>
      </c>
      <c r="U136" s="10"/>
      <c r="V136" s="10"/>
      <c r="W136" s="10"/>
      <c r="X136" s="10" t="s">
        <v>114</v>
      </c>
      <c r="Y136" s="11">
        <v>313.44377634175794</v>
      </c>
      <c r="Z136" s="10"/>
      <c r="AA136" s="10"/>
      <c r="AB136" s="10"/>
      <c r="AC136" s="10"/>
      <c r="AD136" s="10"/>
      <c r="AE136" s="10"/>
      <c r="AF136" s="10"/>
      <c r="AG136" s="11">
        <v>9.1937972629179523</v>
      </c>
      <c r="AH136" s="11">
        <v>0.34338850338147248</v>
      </c>
      <c r="AI136" s="11">
        <v>0.70915913353736293</v>
      </c>
      <c r="AJ136" s="11">
        <v>7.9879323556832471E-2</v>
      </c>
      <c r="AK136" s="11">
        <v>0.36517664691267043</v>
      </c>
      <c r="AL136" s="11">
        <v>6.042481303872381E-2</v>
      </c>
      <c r="AM136" s="11">
        <v>1.1668894349390163E-2</v>
      </c>
      <c r="AN136" s="11">
        <v>7.6872133684893026E-2</v>
      </c>
      <c r="AO136" s="11">
        <v>1.2098819969556441E-2</v>
      </c>
      <c r="AP136" s="11">
        <v>7.52463167347171E-2</v>
      </c>
      <c r="AQ136" s="11">
        <v>1.2637082693774858E-2</v>
      </c>
      <c r="AR136" s="11">
        <v>4.4543448191608083E-2</v>
      </c>
      <c r="AS136" s="11" t="s">
        <v>114</v>
      </c>
      <c r="AT136" s="11">
        <v>3.2388883912505287E-2</v>
      </c>
      <c r="AU136" s="11">
        <v>4.3104908052501723E-3</v>
      </c>
      <c r="AV136" s="10"/>
      <c r="AW136" s="10"/>
      <c r="AX136" s="10"/>
      <c r="AY136" s="10"/>
      <c r="AZ136" s="10">
        <v>1.588469735234733</v>
      </c>
      <c r="BA136" s="10">
        <v>1.4882132005269715</v>
      </c>
      <c r="BB136" s="11">
        <v>1.5453635551026885</v>
      </c>
      <c r="BC136" s="11">
        <v>0.12751255578559256</v>
      </c>
      <c r="BD136" s="11">
        <v>4.3068493186044279</v>
      </c>
    </row>
    <row r="137" spans="1:56" x14ac:dyDescent="0.3">
      <c r="A137" t="s">
        <v>248</v>
      </c>
      <c r="B137" t="s">
        <v>55</v>
      </c>
      <c r="C137" s="10">
        <v>4668.401506377958</v>
      </c>
      <c r="D137" s="11">
        <v>2411.893207683911</v>
      </c>
      <c r="E137" s="10"/>
      <c r="F137" s="10">
        <v>151233.55497335628</v>
      </c>
      <c r="G137" s="10"/>
      <c r="H137" s="10">
        <v>312389.94422614836</v>
      </c>
      <c r="I137" s="11">
        <v>310131.61507221771</v>
      </c>
      <c r="J137" s="10"/>
      <c r="K137" s="11">
        <v>3.012721509711636</v>
      </c>
      <c r="L137" s="11"/>
      <c r="M137" s="11">
        <v>99.5846149795114</v>
      </c>
      <c r="N137" s="11">
        <v>284.73528814647204</v>
      </c>
      <c r="O137" s="10">
        <v>287.01914738028944</v>
      </c>
      <c r="P137" s="10"/>
      <c r="Q137" s="11"/>
      <c r="R137" s="11">
        <v>6.0342291566841588</v>
      </c>
      <c r="S137" s="10">
        <v>6.0046722257134739</v>
      </c>
      <c r="T137" s="11">
        <v>487.82455866287501</v>
      </c>
      <c r="U137" s="10"/>
      <c r="V137" s="10"/>
      <c r="W137" s="10"/>
      <c r="X137" s="10">
        <v>0.25680523843655317</v>
      </c>
      <c r="Y137" s="11">
        <v>302.66143680016506</v>
      </c>
      <c r="Z137" s="10"/>
      <c r="AA137" s="10"/>
      <c r="AB137" s="10"/>
      <c r="AC137" s="10"/>
      <c r="AD137" s="10"/>
      <c r="AE137" s="10"/>
      <c r="AF137" s="10"/>
      <c r="AG137" s="11">
        <v>15.429319125674414</v>
      </c>
      <c r="AH137" s="11">
        <v>1.4597877538073862</v>
      </c>
      <c r="AI137" s="11">
        <v>2.7826014806478772</v>
      </c>
      <c r="AJ137" s="11">
        <v>0.30599393645310319</v>
      </c>
      <c r="AK137" s="11">
        <v>1.3788444642965969</v>
      </c>
      <c r="AL137" s="11">
        <v>0.24892869181469543</v>
      </c>
      <c r="AM137" s="11">
        <v>6.370280482637819E-2</v>
      </c>
      <c r="AN137" s="11">
        <v>0.32645044258018224</v>
      </c>
      <c r="AO137" s="11">
        <v>5.1332872990569801E-2</v>
      </c>
      <c r="AP137" s="11">
        <v>0.32042124720656456</v>
      </c>
      <c r="AQ137" s="11">
        <v>6.5174603728302694E-2</v>
      </c>
      <c r="AR137" s="11">
        <v>0.1812628723094811</v>
      </c>
      <c r="AS137" s="11">
        <v>2.5665185412157572E-2</v>
      </c>
      <c r="AT137" s="11">
        <v>0.14847065828054742</v>
      </c>
      <c r="AU137" s="11">
        <v>2.4474943179896097E-2</v>
      </c>
      <c r="AV137" s="10"/>
      <c r="AW137" s="10"/>
      <c r="AX137" s="10"/>
      <c r="AY137" s="10"/>
      <c r="AZ137" s="10">
        <v>9.6242461256127338</v>
      </c>
      <c r="BA137" s="10">
        <v>8.7022616051643578</v>
      </c>
      <c r="BB137" s="11">
        <v>9.0550736169203709</v>
      </c>
      <c r="BC137" s="11">
        <v>0.16341905055789532</v>
      </c>
      <c r="BD137" s="11">
        <v>3.2919822511171577</v>
      </c>
    </row>
    <row r="138" spans="1:56" x14ac:dyDescent="0.3">
      <c r="A138" t="s">
        <v>249</v>
      </c>
      <c r="B138" t="s">
        <v>55</v>
      </c>
      <c r="C138" s="10">
        <v>5861.5510069243019</v>
      </c>
      <c r="D138" s="11">
        <v>2212.4102930913159</v>
      </c>
      <c r="E138" s="10"/>
      <c r="F138" s="10">
        <v>219536.60632197029</v>
      </c>
      <c r="G138" s="10"/>
      <c r="H138" s="10">
        <v>467506.65969009791</v>
      </c>
      <c r="I138" s="11">
        <v>462494.479297265</v>
      </c>
      <c r="J138" s="10"/>
      <c r="K138" s="11">
        <v>7.8639815845983767</v>
      </c>
      <c r="L138" s="11"/>
      <c r="M138" s="11">
        <v>63.762689161221552</v>
      </c>
      <c r="N138" s="11">
        <v>654.13339558660027</v>
      </c>
      <c r="O138" s="10">
        <v>669.30369782194111</v>
      </c>
      <c r="P138" s="10"/>
      <c r="Q138" s="11"/>
      <c r="R138" s="11">
        <v>10.609642828003631</v>
      </c>
      <c r="S138" s="10">
        <v>10.226007777031821</v>
      </c>
      <c r="T138" s="11">
        <v>615.13400107947541</v>
      </c>
      <c r="U138" s="10"/>
      <c r="V138" s="10"/>
      <c r="W138" s="10"/>
      <c r="X138" s="10">
        <v>0.21209653008458595</v>
      </c>
      <c r="Y138" s="11">
        <v>402.81888751524394</v>
      </c>
      <c r="Z138" s="10"/>
      <c r="AA138" s="10"/>
      <c r="AB138" s="10"/>
      <c r="AC138" s="10"/>
      <c r="AD138" s="10"/>
      <c r="AE138" s="10"/>
      <c r="AF138" s="10"/>
      <c r="AG138" s="11">
        <v>14.598794928143453</v>
      </c>
      <c r="AH138" s="11">
        <v>5.2698719780009924</v>
      </c>
      <c r="AI138" s="11">
        <v>11.069281006145609</v>
      </c>
      <c r="AJ138" s="11">
        <v>1.0905093833728887</v>
      </c>
      <c r="AK138" s="11">
        <v>4.8564850649499958</v>
      </c>
      <c r="AL138" s="11">
        <v>1.0494153690161552</v>
      </c>
      <c r="AM138" s="11">
        <v>0.22787860124543088</v>
      </c>
      <c r="AN138" s="11">
        <v>1.0799026377377965</v>
      </c>
      <c r="AO138" s="11">
        <v>0.16857264811638131</v>
      </c>
      <c r="AP138" s="11">
        <v>1.0630139047184795</v>
      </c>
      <c r="AQ138" s="11">
        <v>0.22127056662880298</v>
      </c>
      <c r="AR138" s="11">
        <v>0.6096019940066133</v>
      </c>
      <c r="AS138" s="11">
        <v>8.1465116938650467E-2</v>
      </c>
      <c r="AT138" s="11">
        <v>0.47514455716919018</v>
      </c>
      <c r="AU138" s="11">
        <v>6.836495292449507E-2</v>
      </c>
      <c r="AV138" s="10"/>
      <c r="AW138" s="10"/>
      <c r="AX138" s="10"/>
      <c r="AY138" s="10"/>
      <c r="AZ138" s="10">
        <v>18.544570606679379</v>
      </c>
      <c r="BA138" s="10">
        <v>17.081406207347378</v>
      </c>
      <c r="BB138" s="11">
        <v>17.69365199077096</v>
      </c>
      <c r="BC138" s="11">
        <v>0.32394800606300939</v>
      </c>
      <c r="BD138" s="11">
        <v>3.0987334996590929</v>
      </c>
    </row>
    <row r="139" spans="1:56" x14ac:dyDescent="0.3">
      <c r="A139" t="s">
        <v>250</v>
      </c>
      <c r="B139" t="s">
        <v>55</v>
      </c>
      <c r="C139" s="10">
        <v>6289.2502417590285</v>
      </c>
      <c r="D139" s="11">
        <v>1871.923127246579</v>
      </c>
      <c r="E139" s="10"/>
      <c r="F139" s="10">
        <v>195470.06261185816</v>
      </c>
      <c r="G139" s="10"/>
      <c r="H139" s="10">
        <v>402972.15563620871</v>
      </c>
      <c r="I139" s="11">
        <v>399051.60270867497</v>
      </c>
      <c r="J139" s="10"/>
      <c r="K139" s="11">
        <v>0.93273769546774921</v>
      </c>
      <c r="L139" s="11"/>
      <c r="M139" s="11">
        <v>16.869189697105742</v>
      </c>
      <c r="N139" s="11">
        <v>78.242601536170923</v>
      </c>
      <c r="O139" s="10">
        <v>96.591117365031764</v>
      </c>
      <c r="P139" s="10"/>
      <c r="Q139" s="11"/>
      <c r="R139" s="11">
        <v>2.6845637362867172</v>
      </c>
      <c r="S139" s="10">
        <v>2.5282024982959794</v>
      </c>
      <c r="T139" s="11">
        <v>515.83822152762923</v>
      </c>
      <c r="U139" s="10"/>
      <c r="V139" s="10"/>
      <c r="W139" s="10"/>
      <c r="X139" s="10" t="s">
        <v>114</v>
      </c>
      <c r="Y139" s="11">
        <v>219.52829924654588</v>
      </c>
      <c r="Z139" s="10"/>
      <c r="AA139" s="10"/>
      <c r="AB139" s="10"/>
      <c r="AC139" s="10"/>
      <c r="AD139" s="10"/>
      <c r="AE139" s="10"/>
      <c r="AF139" s="10"/>
      <c r="AG139" s="11">
        <v>3.4131622567074875</v>
      </c>
      <c r="AH139" s="11">
        <v>1.2062368889949571</v>
      </c>
      <c r="AI139" s="11">
        <v>2.548607353946692</v>
      </c>
      <c r="AJ139" s="11">
        <v>0.27865156512363637</v>
      </c>
      <c r="AK139" s="11">
        <v>1.1360823840211045</v>
      </c>
      <c r="AL139" s="11">
        <v>0.26219315161179391</v>
      </c>
      <c r="AM139" s="11">
        <v>5.7537237194454499E-2</v>
      </c>
      <c r="AN139" s="11">
        <v>0.24780534472378729</v>
      </c>
      <c r="AO139" s="11">
        <v>4.268924057850626E-2</v>
      </c>
      <c r="AP139" s="11">
        <v>0.24903253664323527</v>
      </c>
      <c r="AQ139" s="11">
        <v>5.1389911064400939E-2</v>
      </c>
      <c r="AR139" s="11">
        <v>0.13942704862516592</v>
      </c>
      <c r="AS139" s="11">
        <v>1.8408467886791346E-2</v>
      </c>
      <c r="AT139" s="11">
        <v>0.10171075278931138</v>
      </c>
      <c r="AU139" s="11">
        <v>1.3064476645101067E-2</v>
      </c>
      <c r="AV139" s="10"/>
      <c r="AW139" s="10"/>
      <c r="AX139" s="10"/>
      <c r="AY139" s="10"/>
      <c r="AZ139" s="10">
        <v>3.3851290696814287</v>
      </c>
      <c r="BA139" s="10">
        <v>3.0586348675928532</v>
      </c>
      <c r="BB139" s="11">
        <v>3.2005909652902473</v>
      </c>
      <c r="BC139" s="11">
        <v>0.17345715883281454</v>
      </c>
      <c r="BD139" s="11">
        <v>0.45000567436939387</v>
      </c>
    </row>
    <row r="140" spans="1:56" x14ac:dyDescent="0.3">
      <c r="A140" t="s">
        <v>251</v>
      </c>
      <c r="B140" t="s">
        <v>55</v>
      </c>
      <c r="C140" s="10">
        <v>8990.0419485498733</v>
      </c>
      <c r="D140" s="11">
        <v>2486.3362044574787</v>
      </c>
      <c r="E140" s="10"/>
      <c r="F140" s="10">
        <v>175194.09504037304</v>
      </c>
      <c r="G140" s="10"/>
      <c r="H140" s="10">
        <v>363049.70750355639</v>
      </c>
      <c r="I140" s="11">
        <v>360548.71375742712</v>
      </c>
      <c r="J140" s="10"/>
      <c r="K140" s="11">
        <v>1.8995664701561192</v>
      </c>
      <c r="L140" s="11"/>
      <c r="M140" s="11">
        <v>24.536403868486421</v>
      </c>
      <c r="N140" s="11">
        <v>191.50090317916192</v>
      </c>
      <c r="O140" s="10">
        <v>207.80867967892499</v>
      </c>
      <c r="P140" s="10"/>
      <c r="Q140" s="11"/>
      <c r="R140" s="11">
        <v>4.6084533661989493</v>
      </c>
      <c r="S140" s="10">
        <v>4.4966296396990302</v>
      </c>
      <c r="T140" s="11">
        <v>111.58290119229518</v>
      </c>
      <c r="U140" s="10"/>
      <c r="V140" s="10"/>
      <c r="W140" s="10"/>
      <c r="X140" s="10" t="s">
        <v>114</v>
      </c>
      <c r="Y140" s="11">
        <v>215.00691014699146</v>
      </c>
      <c r="Z140" s="10"/>
      <c r="AA140" s="10"/>
      <c r="AB140" s="10"/>
      <c r="AC140" s="10"/>
      <c r="AD140" s="10"/>
      <c r="AE140" s="10"/>
      <c r="AF140" s="10"/>
      <c r="AG140" s="11">
        <v>5.2814734283958886</v>
      </c>
      <c r="AH140" s="11">
        <v>0.35103019367931326</v>
      </c>
      <c r="AI140" s="11">
        <v>0.82128060655041757</v>
      </c>
      <c r="AJ140" s="11">
        <v>8.0118447845757723E-2</v>
      </c>
      <c r="AK140" s="11">
        <v>0.3563180396558831</v>
      </c>
      <c r="AL140" s="11">
        <v>7.4478210861306154E-2</v>
      </c>
      <c r="AM140" s="11">
        <v>1.6876658029702427E-2</v>
      </c>
      <c r="AN140" s="11">
        <v>9.298432052309312E-2</v>
      </c>
      <c r="AO140" s="11">
        <v>1.7543403227419013E-2</v>
      </c>
      <c r="AP140" s="11">
        <v>8.3919505948831449E-2</v>
      </c>
      <c r="AQ140" s="11">
        <v>1.5993479747905409E-2</v>
      </c>
      <c r="AR140" s="11">
        <v>5.4384686312517631E-2</v>
      </c>
      <c r="AS140" s="11">
        <v>5.4865732936576275E-3</v>
      </c>
      <c r="AT140" s="11">
        <v>3.3965100149729359E-2</v>
      </c>
      <c r="AU140" s="11">
        <v>4.8021506036003414E-3</v>
      </c>
      <c r="AV140" s="10"/>
      <c r="AW140" s="10"/>
      <c r="AX140" s="10"/>
      <c r="AY140" s="10"/>
      <c r="AZ140" s="10">
        <v>1.6971976116225795</v>
      </c>
      <c r="BA140" s="10">
        <v>1.5732806639711026</v>
      </c>
      <c r="BB140" s="11">
        <v>1.6077337056637775</v>
      </c>
      <c r="BC140" s="11">
        <v>0.12582392038484724</v>
      </c>
      <c r="BD140" s="11">
        <v>1.1717845859039699</v>
      </c>
    </row>
    <row r="141" spans="1:56" x14ac:dyDescent="0.3">
      <c r="A141" t="s">
        <v>252</v>
      </c>
      <c r="B141" t="s">
        <v>55</v>
      </c>
      <c r="C141" s="10">
        <v>6419.4558517774221</v>
      </c>
      <c r="D141" s="11">
        <v>2269.8895939396548</v>
      </c>
      <c r="E141" s="10"/>
      <c r="F141" s="10">
        <v>152588.6426793561</v>
      </c>
      <c r="G141" s="10"/>
      <c r="H141" s="10">
        <v>316593.1427495426</v>
      </c>
      <c r="I141" s="11">
        <v>315302.1761355768</v>
      </c>
      <c r="J141" s="10"/>
      <c r="K141" s="11">
        <v>2.7436415260174449</v>
      </c>
      <c r="L141" s="11"/>
      <c r="M141" s="11">
        <v>144.28569272307462</v>
      </c>
      <c r="N141" s="11">
        <v>139.68129648384485</v>
      </c>
      <c r="O141" s="10">
        <v>146.6220456675662</v>
      </c>
      <c r="P141" s="10"/>
      <c r="Q141" s="11"/>
      <c r="R141" s="11">
        <v>59.438382768193321</v>
      </c>
      <c r="S141" s="10">
        <v>59.230048180787719</v>
      </c>
      <c r="T141" s="11">
        <v>209.3082359272332</v>
      </c>
      <c r="U141" s="10"/>
      <c r="V141" s="10"/>
      <c r="W141" s="10"/>
      <c r="X141" s="10" t="s">
        <v>114</v>
      </c>
      <c r="Y141" s="11">
        <v>548.14496696700519</v>
      </c>
      <c r="Z141" s="10"/>
      <c r="AA141" s="10"/>
      <c r="AB141" s="10"/>
      <c r="AC141" s="10"/>
      <c r="AD141" s="10"/>
      <c r="AE141" s="10"/>
      <c r="AF141" s="10"/>
      <c r="AG141" s="11">
        <v>13.843659223895013</v>
      </c>
      <c r="AH141" s="11">
        <v>0.67319001029495307</v>
      </c>
      <c r="AI141" s="11">
        <v>1.1931123672221882</v>
      </c>
      <c r="AJ141" s="11">
        <v>0.13198291954668859</v>
      </c>
      <c r="AK141" s="11">
        <v>0.55662763717196306</v>
      </c>
      <c r="AL141" s="11">
        <v>0.10509801088979116</v>
      </c>
      <c r="AM141" s="11">
        <v>2.4779162282326257E-2</v>
      </c>
      <c r="AN141" s="11">
        <v>0.12596418080317692</v>
      </c>
      <c r="AO141" s="11">
        <v>1.9657567494207114E-2</v>
      </c>
      <c r="AP141" s="11">
        <v>0.11509891065732124</v>
      </c>
      <c r="AQ141" s="11">
        <v>2.7980311061312556E-2</v>
      </c>
      <c r="AR141" s="11">
        <v>7.6865998506732508E-2</v>
      </c>
      <c r="AS141" s="11">
        <v>1.1390783884564741E-2</v>
      </c>
      <c r="AT141" s="11">
        <v>7.0206850111886251E-2</v>
      </c>
      <c r="AU141" s="11">
        <v>1.0980322624323108E-2</v>
      </c>
      <c r="AV141" s="10"/>
      <c r="AW141" s="10"/>
      <c r="AX141" s="10"/>
      <c r="AY141" s="10"/>
      <c r="AZ141" s="10">
        <v>35.222614289617461</v>
      </c>
      <c r="BA141" s="10">
        <v>31.829377577998841</v>
      </c>
      <c r="BB141" s="11">
        <v>33.299671203605371</v>
      </c>
      <c r="BC141" s="11">
        <v>0.13217508876317302</v>
      </c>
      <c r="BD141" s="11">
        <v>10.050827831329245</v>
      </c>
    </row>
    <row r="142" spans="1:56" x14ac:dyDescent="0.3">
      <c r="A142" t="s">
        <v>253</v>
      </c>
      <c r="B142" t="s">
        <v>55</v>
      </c>
      <c r="C142" s="10">
        <v>12133.961186634444</v>
      </c>
      <c r="D142" s="11">
        <v>4643.8654665379981</v>
      </c>
      <c r="E142" s="10"/>
      <c r="F142" s="10">
        <v>233143.26181586506</v>
      </c>
      <c r="G142" s="10"/>
      <c r="H142" s="10">
        <v>510800.34452389943</v>
      </c>
      <c r="I142" s="11">
        <v>507944.00697410409</v>
      </c>
      <c r="J142" s="10"/>
      <c r="K142" s="11">
        <v>5.1698026416168794</v>
      </c>
      <c r="L142" s="11"/>
      <c r="M142" s="11">
        <v>275.75089290210042</v>
      </c>
      <c r="N142" s="11">
        <v>443.9050742139608</v>
      </c>
      <c r="O142" s="10">
        <v>456.12077580816293</v>
      </c>
      <c r="P142" s="10"/>
      <c r="Q142" s="11"/>
      <c r="R142" s="11">
        <v>9.7145730112265394</v>
      </c>
      <c r="S142" s="10">
        <v>9.5539445810590067</v>
      </c>
      <c r="T142" s="11">
        <v>258.26047669289352</v>
      </c>
      <c r="U142" s="10"/>
      <c r="V142" s="10"/>
      <c r="W142" s="10"/>
      <c r="X142" s="10">
        <v>0.26936260332381168</v>
      </c>
      <c r="Y142" s="11">
        <v>749.78636441121455</v>
      </c>
      <c r="Z142" s="10"/>
      <c r="AA142" s="10"/>
      <c r="AB142" s="10"/>
      <c r="AC142" s="10"/>
      <c r="AD142" s="10"/>
      <c r="AE142" s="10"/>
      <c r="AF142" s="10"/>
      <c r="AG142" s="11">
        <v>22.199280845361422</v>
      </c>
      <c r="AH142" s="11">
        <v>0.31868145009598942</v>
      </c>
      <c r="AI142" s="11">
        <v>0.5842705274175809</v>
      </c>
      <c r="AJ142" s="11">
        <v>6.8060505755849154E-2</v>
      </c>
      <c r="AK142" s="11">
        <v>0.37685751159579017</v>
      </c>
      <c r="AL142" s="11">
        <v>7.6752527800884818E-2</v>
      </c>
      <c r="AM142" s="11">
        <v>1.6741869994021105E-2</v>
      </c>
      <c r="AN142" s="11">
        <v>7.1896135975801204E-2</v>
      </c>
      <c r="AO142" s="11">
        <v>1.804366374575633E-2</v>
      </c>
      <c r="AP142" s="11">
        <v>6.9700182092920171E-2</v>
      </c>
      <c r="AQ142" s="11">
        <v>1.1194979726990354E-2</v>
      </c>
      <c r="AR142" s="11">
        <v>3.8282390108179187E-2</v>
      </c>
      <c r="AS142" s="11">
        <v>3.8716749783015655E-3</v>
      </c>
      <c r="AT142" s="11">
        <v>3.1283092097588075E-2</v>
      </c>
      <c r="AU142" s="11">
        <v>6.4835206609079495E-3</v>
      </c>
      <c r="AV142" s="10"/>
      <c r="AW142" s="10"/>
      <c r="AX142" s="10"/>
      <c r="AY142" s="10"/>
      <c r="AZ142" s="10">
        <v>6.3217770743728172</v>
      </c>
      <c r="BA142" s="10">
        <v>5.6710971429376489</v>
      </c>
      <c r="BB142" s="11">
        <v>5.9248648626458351</v>
      </c>
      <c r="BC142" s="11">
        <v>0.14385902026278558</v>
      </c>
      <c r="BD142" s="11">
        <v>11.004834245101419</v>
      </c>
    </row>
    <row r="143" spans="1:56" x14ac:dyDescent="0.3">
      <c r="A143" t="s">
        <v>254</v>
      </c>
      <c r="B143" t="s">
        <v>55</v>
      </c>
      <c r="C143" s="10">
        <v>8759.5078128183632</v>
      </c>
      <c r="D143" s="11">
        <v>3535.4124670431902</v>
      </c>
      <c r="E143" s="10"/>
      <c r="F143" s="10">
        <v>211636.94943765996</v>
      </c>
      <c r="G143" s="10"/>
      <c r="H143" s="10">
        <v>429014.75157347176</v>
      </c>
      <c r="I143" s="11">
        <v>427456.59686946269</v>
      </c>
      <c r="J143" s="10"/>
      <c r="K143" s="11">
        <v>0.76892592697275652</v>
      </c>
      <c r="L143" s="11"/>
      <c r="M143" s="11">
        <v>8.3382148359196524</v>
      </c>
      <c r="N143" s="11">
        <v>70.229546015975373</v>
      </c>
      <c r="O143" s="10">
        <v>86.438779180321788</v>
      </c>
      <c r="P143" s="10"/>
      <c r="Q143" s="11"/>
      <c r="R143" s="11">
        <v>2.1023588808162326</v>
      </c>
      <c r="S143" s="10">
        <v>1.8729866485300677</v>
      </c>
      <c r="T143" s="11">
        <v>201.93210290881058</v>
      </c>
      <c r="U143" s="10"/>
      <c r="V143" s="10"/>
      <c r="W143" s="10"/>
      <c r="X143" s="10">
        <v>0.37351945200555625</v>
      </c>
      <c r="Y143" s="11">
        <v>372.38746931873465</v>
      </c>
      <c r="Z143" s="10"/>
      <c r="AA143" s="10"/>
      <c r="AB143" s="10"/>
      <c r="AC143" s="10"/>
      <c r="AD143" s="10"/>
      <c r="AE143" s="10"/>
      <c r="AF143" s="10"/>
      <c r="AG143" s="11">
        <v>5.8599113343473892</v>
      </c>
      <c r="AH143" s="11">
        <v>0.19846276980904859</v>
      </c>
      <c r="AI143" s="11">
        <v>0.38849181792615572</v>
      </c>
      <c r="AJ143" s="11">
        <v>4.5170691496951847E-2</v>
      </c>
      <c r="AK143" s="11">
        <v>0.16694262557345191</v>
      </c>
      <c r="AL143" s="11">
        <v>6.7453390957516665E-2</v>
      </c>
      <c r="AM143" s="11" t="s">
        <v>114</v>
      </c>
      <c r="AN143" s="11">
        <v>4.124947975458234E-2</v>
      </c>
      <c r="AO143" s="11">
        <v>8.7321420711662396E-3</v>
      </c>
      <c r="AP143" s="11">
        <v>4.3661655956772426E-2</v>
      </c>
      <c r="AQ143" s="11">
        <v>7.7879640201746186E-3</v>
      </c>
      <c r="AR143" s="11">
        <v>2.6117059638472401E-2</v>
      </c>
      <c r="AS143" s="11" t="s">
        <v>114</v>
      </c>
      <c r="AT143" s="11">
        <v>1.9783402784537323E-2</v>
      </c>
      <c r="AU143" s="11" t="s">
        <v>114</v>
      </c>
      <c r="AV143" s="10"/>
      <c r="AW143" s="10"/>
      <c r="AX143" s="10"/>
      <c r="AY143" s="10"/>
      <c r="AZ143" s="10">
        <v>7.0025291050727567</v>
      </c>
      <c r="BA143" s="10">
        <v>6.3405616663306761</v>
      </c>
      <c r="BB143" s="11">
        <v>6.5844733105098125</v>
      </c>
      <c r="BC143" s="11">
        <v>0.10367915173525755</v>
      </c>
      <c r="BD143" s="11">
        <v>0.69266737251873189</v>
      </c>
    </row>
    <row r="144" spans="1:56" x14ac:dyDescent="0.3">
      <c r="A144" t="s">
        <v>255</v>
      </c>
      <c r="B144" t="s">
        <v>55</v>
      </c>
      <c r="C144" s="10">
        <v>4860.2219213751769</v>
      </c>
      <c r="D144" s="11">
        <v>2892.461967366884</v>
      </c>
      <c r="E144" s="10"/>
      <c r="F144" s="10">
        <v>187846.4276628902</v>
      </c>
      <c r="G144" s="10"/>
      <c r="H144" s="10">
        <v>417001.77433303953</v>
      </c>
      <c r="I144" s="11">
        <v>412403.48482743662</v>
      </c>
      <c r="J144" s="10"/>
      <c r="K144" s="11">
        <v>3.3160074032334022</v>
      </c>
      <c r="L144" s="11"/>
      <c r="M144" s="11">
        <v>164.14939467474289</v>
      </c>
      <c r="N144" s="11">
        <v>817.11929841240715</v>
      </c>
      <c r="O144" s="10">
        <v>820.97272831686359</v>
      </c>
      <c r="P144" s="10"/>
      <c r="Q144" s="11"/>
      <c r="R144" s="11">
        <v>13.048508167519584</v>
      </c>
      <c r="S144" s="10">
        <v>13.428147637787522</v>
      </c>
      <c r="T144" s="11">
        <v>527.99367939518493</v>
      </c>
      <c r="U144" s="10"/>
      <c r="V144" s="10"/>
      <c r="W144" s="10"/>
      <c r="X144" s="10">
        <v>0.62377711621410026</v>
      </c>
      <c r="Y144" s="11">
        <v>267.99037012483365</v>
      </c>
      <c r="Z144" s="10"/>
      <c r="AA144" s="10"/>
      <c r="AB144" s="10"/>
      <c r="AC144" s="10"/>
      <c r="AD144" s="10"/>
      <c r="AE144" s="10"/>
      <c r="AF144" s="10"/>
      <c r="AG144" s="11">
        <v>7.993599567225834</v>
      </c>
      <c r="AH144" s="11">
        <v>2.4835412131263523</v>
      </c>
      <c r="AI144" s="11">
        <v>4.7738214969171961</v>
      </c>
      <c r="AJ144" s="11">
        <v>0.59558917598053041</v>
      </c>
      <c r="AK144" s="11">
        <v>2.5583405440562133</v>
      </c>
      <c r="AL144" s="11">
        <v>0.54152791998774275</v>
      </c>
      <c r="AM144" s="11">
        <v>0.12373007391490394</v>
      </c>
      <c r="AN144" s="11">
        <v>0.52817046372364651</v>
      </c>
      <c r="AO144" s="11">
        <v>8.2446550946943323E-2</v>
      </c>
      <c r="AP144" s="11">
        <v>0.47953457076480027</v>
      </c>
      <c r="AQ144" s="11">
        <v>0.10280268765698768</v>
      </c>
      <c r="AR144" s="11">
        <v>0.28059382983605208</v>
      </c>
      <c r="AS144" s="11">
        <v>3.5417300431652032E-2</v>
      </c>
      <c r="AT144" s="11">
        <v>0.22317974656946821</v>
      </c>
      <c r="AU144" s="11">
        <v>3.2294159418700515E-2</v>
      </c>
      <c r="AV144" s="10"/>
      <c r="AW144" s="10"/>
      <c r="AX144" s="10"/>
      <c r="AY144" s="10"/>
      <c r="AZ144" s="10">
        <v>15.834869621249643</v>
      </c>
      <c r="BA144" s="10">
        <v>14.435991201807823</v>
      </c>
      <c r="BB144" s="11">
        <v>14.971752353670331</v>
      </c>
      <c r="BC144" s="11">
        <v>0.39143191793040227</v>
      </c>
      <c r="BD144" s="11">
        <v>2.0728263633565427</v>
      </c>
    </row>
    <row r="145" spans="1:56" x14ac:dyDescent="0.3">
      <c r="A145" t="s">
        <v>256</v>
      </c>
      <c r="B145" t="s">
        <v>55</v>
      </c>
      <c r="C145" s="10">
        <v>6718.0482187455536</v>
      </c>
      <c r="D145" s="11">
        <v>2674.42265702141</v>
      </c>
      <c r="E145" s="10"/>
      <c r="F145" s="10">
        <v>159445.88159891334</v>
      </c>
      <c r="G145" s="10"/>
      <c r="H145" s="10">
        <v>326639.23501419765</v>
      </c>
      <c r="I145" s="11">
        <v>324492.91880575096</v>
      </c>
      <c r="J145" s="10"/>
      <c r="K145" s="11">
        <v>2.07991876330501</v>
      </c>
      <c r="L145" s="11"/>
      <c r="M145" s="11">
        <v>61.05586242183022</v>
      </c>
      <c r="N145" s="11">
        <v>53.590699386367412</v>
      </c>
      <c r="O145" s="10">
        <v>65.12391976955287</v>
      </c>
      <c r="P145" s="10"/>
      <c r="Q145" s="11"/>
      <c r="R145" s="11">
        <v>4.1297675664233848</v>
      </c>
      <c r="S145" s="10">
        <v>4.1523019158844354</v>
      </c>
      <c r="T145" s="11">
        <v>213.20604071653202</v>
      </c>
      <c r="U145" s="10"/>
      <c r="V145" s="10"/>
      <c r="W145" s="10"/>
      <c r="X145" s="10">
        <v>0.27784840520441328</v>
      </c>
      <c r="Y145" s="11">
        <v>513.06715880098159</v>
      </c>
      <c r="Z145" s="10"/>
      <c r="AA145" s="10"/>
      <c r="AB145" s="10"/>
      <c r="AC145" s="10"/>
      <c r="AD145" s="10"/>
      <c r="AE145" s="10"/>
      <c r="AF145" s="10"/>
      <c r="AG145" s="11">
        <v>6.9639258707344975</v>
      </c>
      <c r="AH145" s="11">
        <v>0.47362663907324815</v>
      </c>
      <c r="AI145" s="11">
        <v>0.95691239502016767</v>
      </c>
      <c r="AJ145" s="11">
        <v>6.7787422291532076E-2</v>
      </c>
      <c r="AK145" s="11">
        <v>0.28532608359199446</v>
      </c>
      <c r="AL145" s="11">
        <v>6.041977080900042E-2</v>
      </c>
      <c r="AM145" s="11">
        <v>1.1989268227342658E-2</v>
      </c>
      <c r="AN145" s="11">
        <v>8.1253671053710577E-2</v>
      </c>
      <c r="AO145" s="11">
        <v>8.7711123511883711E-3</v>
      </c>
      <c r="AP145" s="11">
        <v>6.3810863144813865E-2</v>
      </c>
      <c r="AQ145" s="11">
        <v>1.2524157469068684E-2</v>
      </c>
      <c r="AR145" s="11">
        <v>3.7865510011194939E-2</v>
      </c>
      <c r="AS145" s="11" t="s">
        <v>114</v>
      </c>
      <c r="AT145" s="11">
        <v>2.9209485356610748E-2</v>
      </c>
      <c r="AU145" s="11" t="s">
        <v>114</v>
      </c>
      <c r="AV145" s="10"/>
      <c r="AW145" s="10"/>
      <c r="AX145" s="10"/>
      <c r="AY145" s="10"/>
      <c r="AZ145" s="10">
        <v>2.5440339172372703</v>
      </c>
      <c r="BA145" s="10">
        <v>2.2429919180750435</v>
      </c>
      <c r="BB145" s="11">
        <v>2.3570558429615898</v>
      </c>
      <c r="BC145" s="11">
        <v>0.18503029907293833</v>
      </c>
      <c r="BD145" s="11">
        <v>3.1797667838181467</v>
      </c>
    </row>
    <row r="146" spans="1:56" x14ac:dyDescent="0.3">
      <c r="A146" t="s">
        <v>257</v>
      </c>
      <c r="B146" t="s">
        <v>55</v>
      </c>
      <c r="C146" s="10">
        <v>6570.6533481473607</v>
      </c>
      <c r="D146" s="11">
        <v>2181.7969322137492</v>
      </c>
      <c r="E146" s="10"/>
      <c r="F146" s="10">
        <v>187638.31977880967</v>
      </c>
      <c r="G146" s="10"/>
      <c r="H146" s="10">
        <v>384294.99235543603</v>
      </c>
      <c r="I146" s="11">
        <v>375239.41358194849</v>
      </c>
      <c r="J146" s="10"/>
      <c r="K146" s="11" t="s">
        <v>114</v>
      </c>
      <c r="L146" s="11"/>
      <c r="M146" s="11">
        <v>6.9900494012065995</v>
      </c>
      <c r="N146" s="11">
        <v>29.419082338231377</v>
      </c>
      <c r="O146" s="10">
        <v>44.932854144474774</v>
      </c>
      <c r="P146" s="10"/>
      <c r="Q146" s="11"/>
      <c r="R146" s="11">
        <v>2.9582376205442791</v>
      </c>
      <c r="S146" s="10">
        <v>2.9429245559946033</v>
      </c>
      <c r="T146" s="11">
        <v>210.19964248296287</v>
      </c>
      <c r="U146" s="10"/>
      <c r="V146" s="10"/>
      <c r="W146" s="10"/>
      <c r="X146" s="10" t="s">
        <v>114</v>
      </c>
      <c r="Y146" s="11">
        <v>239.89914015938393</v>
      </c>
      <c r="Z146" s="10"/>
      <c r="AA146" s="10"/>
      <c r="AB146" s="10"/>
      <c r="AC146" s="10"/>
      <c r="AD146" s="10"/>
      <c r="AE146" s="10"/>
      <c r="AF146" s="10"/>
      <c r="AG146" s="11">
        <v>2.2240492798975806</v>
      </c>
      <c r="AH146" s="11">
        <v>0.15172995429735459</v>
      </c>
      <c r="AI146" s="11">
        <v>0.28494557941157633</v>
      </c>
      <c r="AJ146" s="11">
        <v>2.5735803103792323E-2</v>
      </c>
      <c r="AK146" s="11">
        <v>0.16078265292476088</v>
      </c>
      <c r="AL146" s="11" t="s">
        <v>114</v>
      </c>
      <c r="AM146" s="11" t="s">
        <v>114</v>
      </c>
      <c r="AN146" s="11">
        <v>3.2794585034727715E-2</v>
      </c>
      <c r="AO146" s="11" t="s">
        <v>114</v>
      </c>
      <c r="AP146" s="11">
        <v>3.2714257196140711E-2</v>
      </c>
      <c r="AQ146" s="11" t="s">
        <v>114</v>
      </c>
      <c r="AR146" s="11">
        <v>1.8814438839141561E-2</v>
      </c>
      <c r="AS146" s="11" t="s">
        <v>114</v>
      </c>
      <c r="AT146" s="11" t="s">
        <v>114</v>
      </c>
      <c r="AU146" s="11" t="s">
        <v>114</v>
      </c>
      <c r="AV146" s="10"/>
      <c r="AW146" s="10"/>
      <c r="AX146" s="10"/>
      <c r="AY146" s="10"/>
      <c r="AZ146" s="10">
        <v>0.70684007077337874</v>
      </c>
      <c r="BA146" s="10">
        <v>0.64755092995720498</v>
      </c>
      <c r="BB146" s="11">
        <v>0.66063888732491338</v>
      </c>
      <c r="BC146" s="11">
        <v>0.13128621757370118</v>
      </c>
      <c r="BD146" s="11">
        <v>0.12840197773604231</v>
      </c>
    </row>
    <row r="147" spans="1:56" x14ac:dyDescent="0.3">
      <c r="A147" t="s">
        <v>258</v>
      </c>
      <c r="B147" t="s">
        <v>55</v>
      </c>
      <c r="C147" s="10">
        <v>4189.618275803301</v>
      </c>
      <c r="D147" s="11">
        <v>1631.0262959190118</v>
      </c>
      <c r="E147" s="10"/>
      <c r="F147" s="10">
        <v>140726.92313538506</v>
      </c>
      <c r="G147" s="10"/>
      <c r="H147" s="10">
        <v>295667.89785201423</v>
      </c>
      <c r="I147" s="11">
        <v>294623.82874178013</v>
      </c>
      <c r="J147" s="10"/>
      <c r="K147" s="11">
        <v>2.1878244315265256</v>
      </c>
      <c r="L147" s="11"/>
      <c r="M147" s="11">
        <v>122.27243527865241</v>
      </c>
      <c r="N147" s="11">
        <v>143.6479653430992</v>
      </c>
      <c r="O147" s="10">
        <v>153.76218919717402</v>
      </c>
      <c r="P147" s="10"/>
      <c r="Q147" s="11"/>
      <c r="R147" s="11">
        <v>17.0124919870862</v>
      </c>
      <c r="S147" s="10">
        <v>16.866717186830403</v>
      </c>
      <c r="T147" s="11">
        <v>382.53364498125404</v>
      </c>
      <c r="U147" s="10"/>
      <c r="V147" s="10"/>
      <c r="W147" s="10"/>
      <c r="X147" s="10" t="s">
        <v>114</v>
      </c>
      <c r="Y147" s="11">
        <v>452.98548882911376</v>
      </c>
      <c r="Z147" s="10"/>
      <c r="AA147" s="10"/>
      <c r="AB147" s="10"/>
      <c r="AC147" s="10"/>
      <c r="AD147" s="10"/>
      <c r="AE147" s="10"/>
      <c r="AF147" s="10"/>
      <c r="AG147" s="11">
        <v>17.706954642260179</v>
      </c>
      <c r="AH147" s="11">
        <v>1.0625152694642455</v>
      </c>
      <c r="AI147" s="11">
        <v>2.0448264875889666</v>
      </c>
      <c r="AJ147" s="11">
        <v>0.22678590471265142</v>
      </c>
      <c r="AK147" s="11">
        <v>1.0253030727299979</v>
      </c>
      <c r="AL147" s="11">
        <v>0.21797114155121899</v>
      </c>
      <c r="AM147" s="11">
        <v>4.5231686543023564E-2</v>
      </c>
      <c r="AN147" s="11">
        <v>0.2464898201095167</v>
      </c>
      <c r="AO147" s="11">
        <v>3.7136251085940743E-2</v>
      </c>
      <c r="AP147" s="11">
        <v>0.23529674281917873</v>
      </c>
      <c r="AQ147" s="11">
        <v>4.8536992438428163E-2</v>
      </c>
      <c r="AR147" s="11">
        <v>0.1396763440022826</v>
      </c>
      <c r="AS147" s="11">
        <v>1.9156697367839842E-2</v>
      </c>
      <c r="AT147" s="11">
        <v>9.6562164256866867E-2</v>
      </c>
      <c r="AU147" s="11">
        <v>1.6517981235611975E-2</v>
      </c>
      <c r="AV147" s="10"/>
      <c r="AW147" s="10"/>
      <c r="AX147" s="10"/>
      <c r="AY147" s="10"/>
      <c r="AZ147" s="10">
        <v>2.3185739765906028</v>
      </c>
      <c r="BA147" s="10">
        <v>2.0616578765199218</v>
      </c>
      <c r="BB147" s="11">
        <v>2.1844010956403399</v>
      </c>
      <c r="BC147" s="11">
        <v>0.1730385125991401</v>
      </c>
      <c r="BD147" s="11">
        <v>7.1484356464548089</v>
      </c>
    </row>
    <row r="148" spans="1:56" x14ac:dyDescent="0.3">
      <c r="A148" t="s">
        <v>259</v>
      </c>
      <c r="B148" t="s">
        <v>55</v>
      </c>
      <c r="C148" s="10">
        <v>5216.8229451945554</v>
      </c>
      <c r="D148" s="11">
        <v>2757.2835198371718</v>
      </c>
      <c r="E148" s="10"/>
      <c r="F148" s="10">
        <v>146180.92918416223</v>
      </c>
      <c r="G148" s="10"/>
      <c r="H148" s="10">
        <v>300789.10599921789</v>
      </c>
      <c r="I148" s="11">
        <v>297522.99617297866</v>
      </c>
      <c r="J148" s="10"/>
      <c r="K148" s="11">
        <v>1.015683960624657</v>
      </c>
      <c r="L148" s="11"/>
      <c r="M148" s="11">
        <v>35.167308536039158</v>
      </c>
      <c r="N148" s="11">
        <v>119.58015292746769</v>
      </c>
      <c r="O148" s="10">
        <v>126.34039193718441</v>
      </c>
      <c r="P148" s="10"/>
      <c r="Q148" s="11"/>
      <c r="R148" s="11">
        <v>28.112011199110956</v>
      </c>
      <c r="S148" s="10">
        <v>28.021465383238574</v>
      </c>
      <c r="T148" s="11">
        <v>264.0592666672772</v>
      </c>
      <c r="U148" s="10"/>
      <c r="V148" s="10"/>
      <c r="W148" s="10"/>
      <c r="X148" s="10" t="s">
        <v>114</v>
      </c>
      <c r="Y148" s="11">
        <v>235.05051715700222</v>
      </c>
      <c r="Z148" s="10"/>
      <c r="AA148" s="10"/>
      <c r="AB148" s="10"/>
      <c r="AC148" s="10"/>
      <c r="AD148" s="10"/>
      <c r="AE148" s="10"/>
      <c r="AF148" s="10"/>
      <c r="AG148" s="11">
        <v>7.1596590476270299</v>
      </c>
      <c r="AH148" s="11">
        <v>0.44084781196572642</v>
      </c>
      <c r="AI148" s="11">
        <v>0.81213016602410881</v>
      </c>
      <c r="AJ148" s="11">
        <v>8.7742658146654315E-2</v>
      </c>
      <c r="AK148" s="11">
        <v>0.39663901874171648</v>
      </c>
      <c r="AL148" s="11">
        <v>8.0849879730461593E-2</v>
      </c>
      <c r="AM148" s="11">
        <v>1.4624422761003121E-2</v>
      </c>
      <c r="AN148" s="11">
        <v>8.2430921833245047E-2</v>
      </c>
      <c r="AO148" s="11">
        <v>1.3446023974359105E-2</v>
      </c>
      <c r="AP148" s="11">
        <v>6.8456352610532387E-2</v>
      </c>
      <c r="AQ148" s="11">
        <v>1.7688055418466318E-2</v>
      </c>
      <c r="AR148" s="11">
        <v>5.5655019069254186E-2</v>
      </c>
      <c r="AS148" s="11">
        <v>5.9134058189289525E-3</v>
      </c>
      <c r="AT148" s="11">
        <v>4.935299657413976E-2</v>
      </c>
      <c r="AU148" s="11">
        <v>6.1295641241430636E-3</v>
      </c>
      <c r="AV148" s="10"/>
      <c r="AW148" s="10"/>
      <c r="AX148" s="10"/>
      <c r="AY148" s="10"/>
      <c r="AZ148" s="10">
        <v>4.3725493720662696</v>
      </c>
      <c r="BA148" s="10">
        <v>3.9715946868826109</v>
      </c>
      <c r="BB148" s="11">
        <v>4.1599206614753461</v>
      </c>
      <c r="BC148" s="11">
        <v>0.12747742870338985</v>
      </c>
      <c r="BD148" s="11">
        <v>1.831999206646874</v>
      </c>
    </row>
    <row r="149" spans="1:56" x14ac:dyDescent="0.3">
      <c r="A149" t="s">
        <v>260</v>
      </c>
      <c r="B149" t="s">
        <v>55</v>
      </c>
      <c r="C149" s="10">
        <v>4851.4290507291425</v>
      </c>
      <c r="D149" s="11">
        <v>2748.2011511736446</v>
      </c>
      <c r="E149" s="10"/>
      <c r="F149" s="10">
        <v>146846.51429831126</v>
      </c>
      <c r="G149" s="10"/>
      <c r="H149" s="10">
        <v>307573.57051332627</v>
      </c>
      <c r="I149" s="11">
        <v>307727.07700718293</v>
      </c>
      <c r="J149" s="10"/>
      <c r="K149" s="11">
        <v>2.6690997387539612</v>
      </c>
      <c r="L149" s="11"/>
      <c r="M149" s="11">
        <v>93.902504367964596</v>
      </c>
      <c r="N149" s="11">
        <v>319.78543603880752</v>
      </c>
      <c r="O149" s="10">
        <v>319.92482071706655</v>
      </c>
      <c r="P149" s="10"/>
      <c r="Q149" s="11"/>
      <c r="R149" s="11">
        <v>8.3261663021825445</v>
      </c>
      <c r="S149" s="10">
        <v>8.1096809364439242</v>
      </c>
      <c r="T149" s="11">
        <v>475.64178989014198</v>
      </c>
      <c r="U149" s="10"/>
      <c r="V149" s="10"/>
      <c r="W149" s="10"/>
      <c r="X149" s="10">
        <v>0.48976151650034766</v>
      </c>
      <c r="Y149" s="11">
        <v>335.85401320031673</v>
      </c>
      <c r="Z149" s="10"/>
      <c r="AA149" s="10"/>
      <c r="AB149" s="10"/>
      <c r="AC149" s="10"/>
      <c r="AD149" s="10"/>
      <c r="AE149" s="10"/>
      <c r="AF149" s="10"/>
      <c r="AG149" s="11">
        <v>13.453713397029389</v>
      </c>
      <c r="AH149" s="11">
        <v>1.5090339300121491</v>
      </c>
      <c r="AI149" s="11">
        <v>2.9509196278499794</v>
      </c>
      <c r="AJ149" s="11">
        <v>0.31331293657601328</v>
      </c>
      <c r="AK149" s="11">
        <v>1.458555512517657</v>
      </c>
      <c r="AL149" s="11">
        <v>0.30916156114843796</v>
      </c>
      <c r="AM149" s="11">
        <v>6.2460963976791489E-2</v>
      </c>
      <c r="AN149" s="11">
        <v>0.32539746576350853</v>
      </c>
      <c r="AO149" s="11">
        <v>4.6101809092865514E-2</v>
      </c>
      <c r="AP149" s="11">
        <v>0.30316905997097704</v>
      </c>
      <c r="AQ149" s="11">
        <v>6.5375120429940842E-2</v>
      </c>
      <c r="AR149" s="11">
        <v>0.19376284287966411</v>
      </c>
      <c r="AS149" s="11">
        <v>2.4829900222814699E-2</v>
      </c>
      <c r="AT149" s="11">
        <v>0.15162982293349606</v>
      </c>
      <c r="AU149" s="11">
        <v>2.1672475517054136E-2</v>
      </c>
      <c r="AV149" s="10"/>
      <c r="AW149" s="10"/>
      <c r="AX149" s="10"/>
      <c r="AY149" s="10"/>
      <c r="AZ149" s="10">
        <v>12.092747722088665</v>
      </c>
      <c r="BA149" s="10">
        <v>10.994523834056293</v>
      </c>
      <c r="BB149" s="11">
        <v>11.435983516591191</v>
      </c>
      <c r="BC149" s="11">
        <v>0.17949100093146622</v>
      </c>
      <c r="BD149" s="11">
        <v>4.2152036198141625</v>
      </c>
    </row>
    <row r="150" spans="1:56" x14ac:dyDescent="0.3">
      <c r="A150" t="s">
        <v>261</v>
      </c>
      <c r="B150" t="s">
        <v>55</v>
      </c>
      <c r="C150" s="10">
        <v>4647.1830306592783</v>
      </c>
      <c r="D150" s="11">
        <v>2176.5730054835108</v>
      </c>
      <c r="E150" s="10"/>
      <c r="F150" s="10">
        <v>136387.70460360966</v>
      </c>
      <c r="G150" s="10"/>
      <c r="H150" s="10">
        <v>285950.34587395174</v>
      </c>
      <c r="I150" s="11">
        <v>283368.67702334782</v>
      </c>
      <c r="J150" s="10"/>
      <c r="K150" s="11">
        <v>4.6392382238545746</v>
      </c>
      <c r="L150" s="11"/>
      <c r="M150" s="11">
        <v>40.89488693666739</v>
      </c>
      <c r="N150" s="11">
        <v>623.19043523106222</v>
      </c>
      <c r="O150" s="10">
        <v>642.47565362203238</v>
      </c>
      <c r="P150" s="10"/>
      <c r="Q150" s="11"/>
      <c r="R150" s="11">
        <v>120.90679421328474</v>
      </c>
      <c r="S150" s="10">
        <v>120.710945908928</v>
      </c>
      <c r="T150" s="11">
        <v>349.26683612610674</v>
      </c>
      <c r="U150" s="10"/>
      <c r="V150" s="10"/>
      <c r="W150" s="10"/>
      <c r="X150" s="10" t="s">
        <v>114</v>
      </c>
      <c r="Y150" s="11">
        <v>302.82682007920823</v>
      </c>
      <c r="Z150" s="10"/>
      <c r="AA150" s="10"/>
      <c r="AB150" s="10"/>
      <c r="AC150" s="10"/>
      <c r="AD150" s="10"/>
      <c r="AE150" s="10"/>
      <c r="AF150" s="10"/>
      <c r="AG150" s="11">
        <v>10.94533246057614</v>
      </c>
      <c r="AH150" s="11">
        <v>0.49982485408863886</v>
      </c>
      <c r="AI150" s="11">
        <v>1.3580796816785565</v>
      </c>
      <c r="AJ150" s="11">
        <v>0.10767315936407333</v>
      </c>
      <c r="AK150" s="11">
        <v>0.47452538199881977</v>
      </c>
      <c r="AL150" s="11">
        <v>7.7104351615343569E-2</v>
      </c>
      <c r="AM150" s="11">
        <v>2.3046193633036345E-2</v>
      </c>
      <c r="AN150" s="11">
        <v>0.11789620009149053</v>
      </c>
      <c r="AO150" s="11">
        <v>1.522820469441071E-2</v>
      </c>
      <c r="AP150" s="11">
        <v>9.5001315286254162E-2</v>
      </c>
      <c r="AQ150" s="11">
        <v>2.0058508637614391E-2</v>
      </c>
      <c r="AR150" s="11">
        <v>6.7876717191155178E-2</v>
      </c>
      <c r="AS150" s="11">
        <v>8.9559828868672493E-3</v>
      </c>
      <c r="AT150" s="11">
        <v>6.4731906897372557E-2</v>
      </c>
      <c r="AU150" s="11">
        <v>8.7435152847653453E-3</v>
      </c>
      <c r="AV150" s="10"/>
      <c r="AW150" s="10"/>
      <c r="AX150" s="10"/>
      <c r="AY150" s="10"/>
      <c r="AZ150" s="10">
        <v>1.8496466332315329</v>
      </c>
      <c r="BA150" s="10">
        <v>1.7039209238766366</v>
      </c>
      <c r="BB150" s="11">
        <v>1.7542910546834365</v>
      </c>
      <c r="BC150" s="11">
        <v>0.15305207503088306</v>
      </c>
      <c r="BD150" s="11">
        <v>4.1844853468023135</v>
      </c>
    </row>
    <row r="151" spans="1:56" x14ac:dyDescent="0.3">
      <c r="A151" t="s">
        <v>262</v>
      </c>
      <c r="B151" t="s">
        <v>55</v>
      </c>
      <c r="C151" s="10">
        <v>5310.9151462454611</v>
      </c>
      <c r="D151" s="11">
        <v>2228.8385519134958</v>
      </c>
      <c r="E151" s="10"/>
      <c r="F151" s="10">
        <v>166225.29172743106</v>
      </c>
      <c r="G151" s="10"/>
      <c r="H151" s="10">
        <v>346290.26023081673</v>
      </c>
      <c r="I151" s="11">
        <v>337282.64617762511</v>
      </c>
      <c r="J151" s="10"/>
      <c r="K151" s="11">
        <v>1.0127503234676589</v>
      </c>
      <c r="L151" s="11"/>
      <c r="M151" s="11">
        <v>8.1650376672012417</v>
      </c>
      <c r="N151" s="11">
        <v>124.00291683253396</v>
      </c>
      <c r="O151" s="10">
        <v>136.21162641106221</v>
      </c>
      <c r="P151" s="10"/>
      <c r="Q151" s="11"/>
      <c r="R151" s="11">
        <v>3.0357510877610063</v>
      </c>
      <c r="S151" s="10">
        <v>3.0511809925111373</v>
      </c>
      <c r="T151" s="11">
        <v>325.89114675238488</v>
      </c>
      <c r="U151" s="10"/>
      <c r="V151" s="10"/>
      <c r="W151" s="10"/>
      <c r="X151" s="10" t="s">
        <v>114</v>
      </c>
      <c r="Y151" s="11">
        <v>143.49008895550566</v>
      </c>
      <c r="Z151" s="10"/>
      <c r="AA151" s="10"/>
      <c r="AB151" s="10"/>
      <c r="AC151" s="10"/>
      <c r="AD151" s="10"/>
      <c r="AE151" s="10"/>
      <c r="AF151" s="10"/>
      <c r="AG151" s="11">
        <v>3.0391958949450117</v>
      </c>
      <c r="AH151" s="11">
        <v>0.744412452582215</v>
      </c>
      <c r="AI151" s="11">
        <v>1.4446420059168206</v>
      </c>
      <c r="AJ151" s="11">
        <v>0.12718390208029745</v>
      </c>
      <c r="AK151" s="11">
        <v>0.6849268108708646</v>
      </c>
      <c r="AL151" s="11">
        <v>0.12824340083654978</v>
      </c>
      <c r="AM151" s="11">
        <v>2.6853834697448856E-2</v>
      </c>
      <c r="AN151" s="11">
        <v>0.14727529121395549</v>
      </c>
      <c r="AO151" s="11">
        <v>2.4047501905123669E-2</v>
      </c>
      <c r="AP151" s="11">
        <v>0.15135762563658492</v>
      </c>
      <c r="AQ151" s="11">
        <v>2.9906148830344384E-2</v>
      </c>
      <c r="AR151" s="11">
        <v>8.4633892578671627E-2</v>
      </c>
      <c r="AS151" s="11">
        <v>1.2515884146270782E-2</v>
      </c>
      <c r="AT151" s="11">
        <v>7.6715183562629879E-2</v>
      </c>
      <c r="AU151" s="11">
        <v>1.16293663769089E-2</v>
      </c>
      <c r="AV151" s="10"/>
      <c r="AW151" s="10"/>
      <c r="AX151" s="10"/>
      <c r="AY151" s="10"/>
      <c r="AZ151" s="10">
        <v>1.1070791131454885</v>
      </c>
      <c r="BA151" s="10">
        <v>1.0068078379454881</v>
      </c>
      <c r="BB151" s="11">
        <v>1.0523320894265904</v>
      </c>
      <c r="BC151" s="11">
        <v>0.14315352062921169</v>
      </c>
      <c r="BD151" s="11">
        <v>0.59205209886732013</v>
      </c>
    </row>
    <row r="152" spans="1:56" x14ac:dyDescent="0.3">
      <c r="A152" t="s">
        <v>263</v>
      </c>
      <c r="B152" t="s">
        <v>55</v>
      </c>
      <c r="C152" s="10">
        <v>3386.2880848103578</v>
      </c>
      <c r="D152" s="11">
        <v>1366.8317552867211</v>
      </c>
      <c r="E152" s="10"/>
      <c r="F152" s="10">
        <v>93933.446419084124</v>
      </c>
      <c r="G152" s="10"/>
      <c r="H152" s="10">
        <v>203992.75772161005</v>
      </c>
      <c r="I152" s="11">
        <v>200744.4738139534</v>
      </c>
      <c r="J152" s="10"/>
      <c r="K152" s="11">
        <v>2.1186334576925376</v>
      </c>
      <c r="L152" s="11"/>
      <c r="M152" s="11">
        <v>23.653221237783328</v>
      </c>
      <c r="N152" s="11">
        <v>216.21848964768122</v>
      </c>
      <c r="O152" s="10">
        <v>229.56376431222881</v>
      </c>
      <c r="P152" s="10"/>
      <c r="Q152" s="11"/>
      <c r="R152" s="11">
        <v>3.3975990817829067</v>
      </c>
      <c r="S152" s="10">
        <v>3.2227984786042767</v>
      </c>
      <c r="T152" s="11">
        <v>168.36325752577682</v>
      </c>
      <c r="U152" s="10"/>
      <c r="V152" s="10"/>
      <c r="W152" s="10"/>
      <c r="X152" s="10">
        <v>0.13243128219593686</v>
      </c>
      <c r="Y152" s="11">
        <v>309.81376447131981</v>
      </c>
      <c r="Z152" s="10"/>
      <c r="AA152" s="10"/>
      <c r="AB152" s="10"/>
      <c r="AC152" s="10"/>
      <c r="AD152" s="10"/>
      <c r="AE152" s="10"/>
      <c r="AF152" s="10"/>
      <c r="AG152" s="11">
        <v>10.267047364409587</v>
      </c>
      <c r="AH152" s="11">
        <v>0.61905403394352687</v>
      </c>
      <c r="AI152" s="11">
        <v>1.2323656420791353</v>
      </c>
      <c r="AJ152" s="11">
        <v>0.13659298673881401</v>
      </c>
      <c r="AK152" s="11">
        <v>0.57870273143595274</v>
      </c>
      <c r="AL152" s="11">
        <v>0.12691745354855868</v>
      </c>
      <c r="AM152" s="11">
        <v>2.7450746175922476E-2</v>
      </c>
      <c r="AN152" s="11">
        <v>0.13192976494372555</v>
      </c>
      <c r="AO152" s="11">
        <v>2.1042828509274341E-2</v>
      </c>
      <c r="AP152" s="11">
        <v>0.12168152502951873</v>
      </c>
      <c r="AQ152" s="11">
        <v>2.6037877401798797E-2</v>
      </c>
      <c r="AR152" s="11">
        <v>7.5627109678902016E-2</v>
      </c>
      <c r="AS152" s="11">
        <v>9.4565927731462794E-3</v>
      </c>
      <c r="AT152" s="11">
        <v>5.3544003111879526E-2</v>
      </c>
      <c r="AU152" s="11">
        <v>8.5582583143506124E-3</v>
      </c>
      <c r="AV152" s="10"/>
      <c r="AW152" s="10"/>
      <c r="AX152" s="10"/>
      <c r="AY152" s="10"/>
      <c r="AZ152" s="10">
        <v>1.5882490255580923</v>
      </c>
      <c r="BA152" s="10">
        <v>1.4320429909622003</v>
      </c>
      <c r="BB152" s="11">
        <v>1.4932343342354466</v>
      </c>
      <c r="BC152" s="11">
        <v>8.6002051668864612E-2</v>
      </c>
      <c r="BD152" s="11">
        <v>4.1076977292129735</v>
      </c>
    </row>
    <row r="153" spans="1:56" x14ac:dyDescent="0.3">
      <c r="A153" t="s">
        <v>264</v>
      </c>
      <c r="B153" t="s">
        <v>55</v>
      </c>
      <c r="C153" s="10">
        <v>2708.0343421821958</v>
      </c>
      <c r="D153" s="11">
        <v>1297.0241306040753</v>
      </c>
      <c r="E153" s="10"/>
      <c r="F153" s="10">
        <v>114602.99796243542</v>
      </c>
      <c r="G153" s="10"/>
      <c r="H153" s="10">
        <v>238046.76686687625</v>
      </c>
      <c r="I153" s="11">
        <v>233800.03314406896</v>
      </c>
      <c r="J153" s="10"/>
      <c r="K153" s="11">
        <v>0.7191301123982079</v>
      </c>
      <c r="L153" s="11"/>
      <c r="M153" s="11">
        <v>15.206253589583751</v>
      </c>
      <c r="N153" s="11">
        <v>92.149539721992099</v>
      </c>
      <c r="O153" s="10">
        <v>101.3183164032576</v>
      </c>
      <c r="P153" s="10"/>
      <c r="Q153" s="11"/>
      <c r="R153" s="11">
        <v>5.3951204836410227</v>
      </c>
      <c r="S153" s="10">
        <v>5.3775510305003635</v>
      </c>
      <c r="T153" s="11">
        <v>335.11264166352254</v>
      </c>
      <c r="U153" s="10"/>
      <c r="V153" s="10"/>
      <c r="W153" s="10"/>
      <c r="X153" s="10">
        <v>0.14852766482384203</v>
      </c>
      <c r="Y153" s="11">
        <v>77.658811017114616</v>
      </c>
      <c r="Z153" s="10"/>
      <c r="AA153" s="10"/>
      <c r="AB153" s="10"/>
      <c r="AC153" s="10"/>
      <c r="AD153" s="10"/>
      <c r="AE153" s="10"/>
      <c r="AF153" s="10"/>
      <c r="AG153" s="11">
        <v>2.7551374980503063</v>
      </c>
      <c r="AH153" s="11">
        <v>0.69071287265194459</v>
      </c>
      <c r="AI153" s="11">
        <v>1.3517348183060109</v>
      </c>
      <c r="AJ153" s="11">
        <v>0.15974517002436345</v>
      </c>
      <c r="AK153" s="11">
        <v>0.70476860594604784</v>
      </c>
      <c r="AL153" s="11">
        <v>0.14975578262802897</v>
      </c>
      <c r="AM153" s="11">
        <v>3.4935781568603309E-2</v>
      </c>
      <c r="AN153" s="11">
        <v>0.15356003134892066</v>
      </c>
      <c r="AO153" s="11">
        <v>2.4752638461899179E-2</v>
      </c>
      <c r="AP153" s="11">
        <v>0.1498703711304418</v>
      </c>
      <c r="AQ153" s="11">
        <v>3.0709696927874265E-2</v>
      </c>
      <c r="AR153" s="11">
        <v>8.2036228149275345E-2</v>
      </c>
      <c r="AS153" s="11">
        <v>1.1728731584975047E-2</v>
      </c>
      <c r="AT153" s="11">
        <v>5.9164411272647717E-2</v>
      </c>
      <c r="AU153" s="11">
        <v>8.0178344529116506E-3</v>
      </c>
      <c r="AV153" s="10"/>
      <c r="AW153" s="10"/>
      <c r="AX153" s="10"/>
      <c r="AY153" s="10"/>
      <c r="AZ153" s="10">
        <v>10.556472941090327</v>
      </c>
      <c r="BA153" s="10">
        <v>9.591972891672615</v>
      </c>
      <c r="BB153" s="11">
        <v>9.9497972628970022</v>
      </c>
      <c r="BC153" s="11">
        <v>9.2811775714602363E-2</v>
      </c>
      <c r="BD153" s="11">
        <v>0.47666511193580691</v>
      </c>
    </row>
    <row r="154" spans="1:56" x14ac:dyDescent="0.3">
      <c r="A154" t="s">
        <v>265</v>
      </c>
      <c r="B154" t="s">
        <v>55</v>
      </c>
      <c r="C154" s="10">
        <v>7151.6168594219498</v>
      </c>
      <c r="D154" s="11">
        <v>2926.5859767748675</v>
      </c>
      <c r="E154" s="10"/>
      <c r="F154" s="10">
        <v>179900.33240055086</v>
      </c>
      <c r="G154" s="10"/>
      <c r="H154" s="10">
        <v>378922.18984958204</v>
      </c>
      <c r="I154" s="11">
        <v>370719.06161735207</v>
      </c>
      <c r="J154" s="10"/>
      <c r="K154" s="11">
        <v>2.1787124922236232</v>
      </c>
      <c r="L154" s="11"/>
      <c r="M154" s="11">
        <v>13.790217662778105</v>
      </c>
      <c r="N154" s="11">
        <v>123.97391007844865</v>
      </c>
      <c r="O154" s="10">
        <v>136.42842472826808</v>
      </c>
      <c r="P154" s="10"/>
      <c r="Q154" s="11"/>
      <c r="R154" s="11">
        <v>4.5524126419388766</v>
      </c>
      <c r="S154" s="10">
        <v>4.4980673838526268</v>
      </c>
      <c r="T154" s="11">
        <v>193.05593979891967</v>
      </c>
      <c r="U154" s="10"/>
      <c r="V154" s="10"/>
      <c r="W154" s="10"/>
      <c r="X154" s="10">
        <v>0.20951513762201468</v>
      </c>
      <c r="Y154" s="11">
        <v>337.28850128285001</v>
      </c>
      <c r="Z154" s="10"/>
      <c r="AA154" s="10"/>
      <c r="AB154" s="10"/>
      <c r="AC154" s="10"/>
      <c r="AD154" s="10"/>
      <c r="AE154" s="10"/>
      <c r="AF154" s="10"/>
      <c r="AG154" s="11">
        <v>9.4349695176262145</v>
      </c>
      <c r="AH154" s="11">
        <v>0.23358374313896302</v>
      </c>
      <c r="AI154" s="11">
        <v>0.4896728612124433</v>
      </c>
      <c r="AJ154" s="11">
        <v>5.2210622115034952E-2</v>
      </c>
      <c r="AK154" s="11">
        <v>0.21917799376309444</v>
      </c>
      <c r="AL154" s="11">
        <v>5.4235662548473271E-2</v>
      </c>
      <c r="AM154" s="11" t="s">
        <v>114</v>
      </c>
      <c r="AN154" s="11">
        <v>5.607775002331649E-2</v>
      </c>
      <c r="AO154" s="11">
        <v>9.3239794312324729E-3</v>
      </c>
      <c r="AP154" s="11">
        <v>4.6018370945927999E-2</v>
      </c>
      <c r="AQ154" s="11">
        <v>1.2133884041982925E-2</v>
      </c>
      <c r="AR154" s="11">
        <v>4.0119745181490009E-2</v>
      </c>
      <c r="AS154" s="11">
        <v>4.808163439540207E-3</v>
      </c>
      <c r="AT154" s="11">
        <v>2.7531495562202322E-2</v>
      </c>
      <c r="AU154" s="11">
        <v>7.1804374720306607E-3</v>
      </c>
      <c r="AV154" s="10"/>
      <c r="AW154" s="10"/>
      <c r="AX154" s="10"/>
      <c r="AY154" s="10"/>
      <c r="AZ154" s="10">
        <v>0.92980499752151813</v>
      </c>
      <c r="BA154" s="10">
        <v>0.83446482055286431</v>
      </c>
      <c r="BB154" s="11">
        <v>0.88902022203602005</v>
      </c>
      <c r="BC154" s="11">
        <v>0.11725658478561049</v>
      </c>
      <c r="BD154" s="11">
        <v>4.3122474209321604</v>
      </c>
    </row>
    <row r="155" spans="1:56" x14ac:dyDescent="0.3">
      <c r="A155" t="s">
        <v>266</v>
      </c>
      <c r="B155" t="s">
        <v>55</v>
      </c>
      <c r="C155" s="10">
        <v>6678.631111467691</v>
      </c>
      <c r="D155" s="11">
        <v>3291.4319151340851</v>
      </c>
      <c r="E155" s="10"/>
      <c r="F155" s="10">
        <v>223057.77861571813</v>
      </c>
      <c r="G155" s="10"/>
      <c r="H155" s="10">
        <v>473944.53280294384</v>
      </c>
      <c r="I155" s="11">
        <v>470030.82340883871</v>
      </c>
      <c r="J155" s="10"/>
      <c r="K155" s="11">
        <v>2.2231878746247262</v>
      </c>
      <c r="L155" s="11"/>
      <c r="M155" s="11">
        <v>11.170725382245205</v>
      </c>
      <c r="N155" s="11">
        <v>142.63740939614408</v>
      </c>
      <c r="O155" s="10">
        <v>157.88787453488581</v>
      </c>
      <c r="P155" s="10"/>
      <c r="Q155" s="11"/>
      <c r="R155" s="11">
        <v>131.55964739966922</v>
      </c>
      <c r="S155" s="10">
        <v>130.204676803269</v>
      </c>
      <c r="T155" s="11">
        <v>376.88285394880677</v>
      </c>
      <c r="U155" s="10"/>
      <c r="V155" s="10"/>
      <c r="W155" s="10"/>
      <c r="X155" s="10" t="s">
        <v>114</v>
      </c>
      <c r="Y155" s="11">
        <v>327.88868623129531</v>
      </c>
      <c r="Z155" s="10"/>
      <c r="AA155" s="10"/>
      <c r="AB155" s="10"/>
      <c r="AC155" s="10"/>
      <c r="AD155" s="10"/>
      <c r="AE155" s="10"/>
      <c r="AF155" s="10"/>
      <c r="AG155" s="11">
        <v>10.273700874506931</v>
      </c>
      <c r="AH155" s="11">
        <v>1.3361904474011301</v>
      </c>
      <c r="AI155" s="11">
        <v>2.4039626856028926</v>
      </c>
      <c r="AJ155" s="11">
        <v>0.26061772655905469</v>
      </c>
      <c r="AK155" s="11">
        <v>1.1018795554780663</v>
      </c>
      <c r="AL155" s="11">
        <v>0.22683585217163632</v>
      </c>
      <c r="AM155" s="11">
        <v>5.5974243645930934E-2</v>
      </c>
      <c r="AN155" s="11">
        <v>0.28173510396856805</v>
      </c>
      <c r="AO155" s="11">
        <v>4.4725520896540062E-2</v>
      </c>
      <c r="AP155" s="11">
        <v>0.25226017278174312</v>
      </c>
      <c r="AQ155" s="11">
        <v>5.8512738652844634E-2</v>
      </c>
      <c r="AR155" s="11">
        <v>0.16966989669825175</v>
      </c>
      <c r="AS155" s="11">
        <v>2.2654664392660201E-2</v>
      </c>
      <c r="AT155" s="11">
        <v>0.13147005513170831</v>
      </c>
      <c r="AU155" s="11">
        <v>1.925195745829749E-2</v>
      </c>
      <c r="AV155" s="10"/>
      <c r="AW155" s="10"/>
      <c r="AX155" s="10"/>
      <c r="AY155" s="10"/>
      <c r="AZ155" s="10">
        <v>4.766951155946912</v>
      </c>
      <c r="BA155" s="10">
        <v>4.2564394413924509</v>
      </c>
      <c r="BB155" s="11">
        <v>4.4516248310903448</v>
      </c>
      <c r="BC155" s="11">
        <v>0.14622403342121848</v>
      </c>
      <c r="BD155" s="11">
        <v>2.4512291825222858</v>
      </c>
    </row>
    <row r="156" spans="1:56" x14ac:dyDescent="0.3">
      <c r="A156" t="s">
        <v>267</v>
      </c>
      <c r="B156" t="s">
        <v>55</v>
      </c>
      <c r="C156" s="10">
        <v>7950.5105306019295</v>
      </c>
      <c r="D156" s="11">
        <v>4948.6271265883997</v>
      </c>
      <c r="E156" s="10"/>
      <c r="F156" s="10">
        <v>288542.92206425045</v>
      </c>
      <c r="G156" s="10"/>
      <c r="H156" s="10">
        <v>627810.6240668617</v>
      </c>
      <c r="I156" s="11">
        <v>621189.82090706052</v>
      </c>
      <c r="J156" s="10"/>
      <c r="K156" s="11">
        <v>6.2160507456986283</v>
      </c>
      <c r="L156" s="11"/>
      <c r="M156" s="11">
        <v>38.359665087915616</v>
      </c>
      <c r="N156" s="11">
        <v>832.75190620835792</v>
      </c>
      <c r="O156" s="10">
        <v>836.57077911712008</v>
      </c>
      <c r="P156" s="10"/>
      <c r="Q156" s="11"/>
      <c r="R156" s="11">
        <v>5.6936136799619677</v>
      </c>
      <c r="S156" s="10">
        <v>5.8793667509624585</v>
      </c>
      <c r="T156" s="11">
        <v>738.18773068651581</v>
      </c>
      <c r="U156" s="10"/>
      <c r="V156" s="10"/>
      <c r="W156" s="10"/>
      <c r="X156" s="10">
        <v>0.56455756302193383</v>
      </c>
      <c r="Y156" s="11">
        <v>374.16300632077065</v>
      </c>
      <c r="Z156" s="10"/>
      <c r="AA156" s="10"/>
      <c r="AB156" s="10"/>
      <c r="AC156" s="10"/>
      <c r="AD156" s="10"/>
      <c r="AE156" s="10"/>
      <c r="AF156" s="10"/>
      <c r="AG156" s="11">
        <v>11.994598028501372</v>
      </c>
      <c r="AH156" s="11">
        <v>1.935256131705773</v>
      </c>
      <c r="AI156" s="11">
        <v>3.7879591168573947</v>
      </c>
      <c r="AJ156" s="11">
        <v>0.40678286549921272</v>
      </c>
      <c r="AK156" s="11">
        <v>1.831811237179596</v>
      </c>
      <c r="AL156" s="11">
        <v>0.37474137887706555</v>
      </c>
      <c r="AM156" s="11">
        <v>9.2595996242829465E-2</v>
      </c>
      <c r="AN156" s="11">
        <v>0.38348459924336337</v>
      </c>
      <c r="AO156" s="11">
        <v>6.1542659669190765E-2</v>
      </c>
      <c r="AP156" s="11">
        <v>0.37711152681230264</v>
      </c>
      <c r="AQ156" s="11">
        <v>7.5918471446795352E-2</v>
      </c>
      <c r="AR156" s="11">
        <v>0.20613112002853015</v>
      </c>
      <c r="AS156" s="11">
        <v>2.8253613246380847E-2</v>
      </c>
      <c r="AT156" s="11">
        <v>0.16416303934138293</v>
      </c>
      <c r="AU156" s="11">
        <v>2.539471428825478E-2</v>
      </c>
      <c r="AV156" s="10"/>
      <c r="AW156" s="10"/>
      <c r="AX156" s="10"/>
      <c r="AY156" s="10"/>
      <c r="AZ156" s="10">
        <v>74.232840836110128</v>
      </c>
      <c r="BA156" s="10">
        <v>67.207850557089742</v>
      </c>
      <c r="BB156" s="11">
        <v>69.977091291356629</v>
      </c>
      <c r="BC156" s="11">
        <v>0.19791537066905493</v>
      </c>
      <c r="BD156" s="11">
        <v>2.9382873572693597</v>
      </c>
    </row>
    <row r="157" spans="1:56" x14ac:dyDescent="0.3">
      <c r="A157" t="s">
        <v>268</v>
      </c>
      <c r="B157" t="s">
        <v>55</v>
      </c>
      <c r="C157" s="10">
        <v>5138.1804132275984</v>
      </c>
      <c r="D157" s="11">
        <v>2080.8480967555556</v>
      </c>
      <c r="E157" s="10"/>
      <c r="F157" s="10">
        <v>150668.17791918857</v>
      </c>
      <c r="G157" s="10"/>
      <c r="H157" s="10">
        <v>313565.15600325365</v>
      </c>
      <c r="I157" s="11">
        <v>307672.16140051611</v>
      </c>
      <c r="J157" s="10"/>
      <c r="K157" s="11">
        <v>1.3534686524204878</v>
      </c>
      <c r="L157" s="11"/>
      <c r="M157" s="11">
        <v>17.298709072547588</v>
      </c>
      <c r="N157" s="11">
        <v>40.013919123607472</v>
      </c>
      <c r="O157" s="10">
        <v>47.201146619352443</v>
      </c>
      <c r="P157" s="10"/>
      <c r="Q157" s="11"/>
      <c r="R157" s="11">
        <v>95.403043559951485</v>
      </c>
      <c r="S157" s="10">
        <v>94.947222865379459</v>
      </c>
      <c r="T157" s="11">
        <v>168.3025372538537</v>
      </c>
      <c r="U157" s="10"/>
      <c r="V157" s="10"/>
      <c r="W157" s="10"/>
      <c r="X157" s="10" t="s">
        <v>114</v>
      </c>
      <c r="Y157" s="11">
        <v>289.45020498502663</v>
      </c>
      <c r="Z157" s="10"/>
      <c r="AA157" s="10"/>
      <c r="AB157" s="10"/>
      <c r="AC157" s="10"/>
      <c r="AD157" s="10"/>
      <c r="AE157" s="10"/>
      <c r="AF157" s="10"/>
      <c r="AG157" s="11">
        <v>16.271405961358358</v>
      </c>
      <c r="AH157" s="11">
        <v>0.12065520500617528</v>
      </c>
      <c r="AI157" s="11">
        <v>0.1608424989712581</v>
      </c>
      <c r="AJ157" s="11">
        <v>2.7396142448899236E-2</v>
      </c>
      <c r="AK157" s="11">
        <v>0.12078830342213177</v>
      </c>
      <c r="AL157" s="11" t="s">
        <v>114</v>
      </c>
      <c r="AM157" s="11" t="s">
        <v>114</v>
      </c>
      <c r="AN157" s="11" t="s">
        <v>114</v>
      </c>
      <c r="AO157" s="11" t="s">
        <v>114</v>
      </c>
      <c r="AP157" s="11" t="s">
        <v>114</v>
      </c>
      <c r="AQ157" s="11" t="s">
        <v>114</v>
      </c>
      <c r="AR157" s="11" t="s">
        <v>114</v>
      </c>
      <c r="AS157" s="11" t="s">
        <v>114</v>
      </c>
      <c r="AT157" s="11" t="s">
        <v>114</v>
      </c>
      <c r="AU157" s="11" t="s">
        <v>114</v>
      </c>
      <c r="AV157" s="10"/>
      <c r="AW157" s="10"/>
      <c r="AX157" s="10"/>
      <c r="AY157" s="10"/>
      <c r="AZ157" s="10">
        <v>0.66600619828430485</v>
      </c>
      <c r="BA157" s="10">
        <v>0.62278825871117116</v>
      </c>
      <c r="BB157" s="11">
        <v>0.64326112572469807</v>
      </c>
      <c r="BC157" s="11">
        <v>0.10103081160695136</v>
      </c>
      <c r="BD157" s="11">
        <v>6.9202020411109247E-2</v>
      </c>
    </row>
    <row r="158" spans="1:56" x14ac:dyDescent="0.3">
      <c r="A158" t="s">
        <v>269</v>
      </c>
      <c r="B158" t="s">
        <v>55</v>
      </c>
      <c r="C158" s="10">
        <v>4398.6125030461535</v>
      </c>
      <c r="D158" s="11">
        <v>1745.3525650006193</v>
      </c>
      <c r="E158" s="10"/>
      <c r="F158" s="10">
        <v>127628.53066423339</v>
      </c>
      <c r="G158" s="10"/>
      <c r="H158" s="10">
        <v>263440.22080658714</v>
      </c>
      <c r="I158" s="11">
        <v>262039.71107035535</v>
      </c>
      <c r="J158" s="10"/>
      <c r="K158" s="11">
        <v>1.3285428411592966</v>
      </c>
      <c r="L158" s="11"/>
      <c r="M158" s="11">
        <v>13.299863449642435</v>
      </c>
      <c r="N158" s="11">
        <v>68.748394867496188</v>
      </c>
      <c r="O158" s="10">
        <v>79.971013205209502</v>
      </c>
      <c r="P158" s="10"/>
      <c r="Q158" s="11"/>
      <c r="R158" s="11">
        <v>3.5016623215984346</v>
      </c>
      <c r="S158" s="10">
        <v>3.3909245477193322</v>
      </c>
      <c r="T158" s="11">
        <v>185.68688598274602</v>
      </c>
      <c r="U158" s="10"/>
      <c r="V158" s="10"/>
      <c r="W158" s="10"/>
      <c r="X158" s="10" t="s">
        <v>114</v>
      </c>
      <c r="Y158" s="11">
        <v>221.38738239832682</v>
      </c>
      <c r="Z158" s="10"/>
      <c r="AA158" s="10"/>
      <c r="AB158" s="10"/>
      <c r="AC158" s="10"/>
      <c r="AD158" s="10"/>
      <c r="AE158" s="10"/>
      <c r="AF158" s="10"/>
      <c r="AG158" s="11">
        <v>11.49307124985126</v>
      </c>
      <c r="AH158" s="11">
        <v>0.14678473061518327</v>
      </c>
      <c r="AI158" s="11">
        <v>0.22771248424589172</v>
      </c>
      <c r="AJ158" s="11">
        <v>3.1285301356806537E-2</v>
      </c>
      <c r="AK158" s="11">
        <v>0.10603246350289484</v>
      </c>
      <c r="AL158" s="11" t="s">
        <v>114</v>
      </c>
      <c r="AM158" s="11" t="s">
        <v>114</v>
      </c>
      <c r="AN158" s="11">
        <v>3.3059987746443475E-2</v>
      </c>
      <c r="AO158" s="11" t="s">
        <v>114</v>
      </c>
      <c r="AP158" s="11">
        <v>2.6002298054044911E-2</v>
      </c>
      <c r="AQ158" s="11" t="s">
        <v>114</v>
      </c>
      <c r="AR158" s="11">
        <v>1.5843571218539937E-2</v>
      </c>
      <c r="AS158" s="11" t="s">
        <v>114</v>
      </c>
      <c r="AT158" s="11" t="s">
        <v>114</v>
      </c>
      <c r="AU158" s="11" t="s">
        <v>114</v>
      </c>
      <c r="AV158" s="10"/>
      <c r="AW158" s="10"/>
      <c r="AX158" s="10"/>
      <c r="AY158" s="10"/>
      <c r="AZ158" s="10">
        <v>0.68206763634903889</v>
      </c>
      <c r="BA158" s="10">
        <v>0.62416085409820887</v>
      </c>
      <c r="BB158" s="11">
        <v>0.65774867256977643</v>
      </c>
      <c r="BC158" s="11">
        <v>9.8085996715564908E-2</v>
      </c>
      <c r="BD158" s="11">
        <v>8.1069467607458659E-2</v>
      </c>
    </row>
    <row r="159" spans="1:56" x14ac:dyDescent="0.3">
      <c r="A159" t="s">
        <v>270</v>
      </c>
      <c r="B159" t="s">
        <v>55</v>
      </c>
      <c r="C159" s="10">
        <v>3819.9962487915163</v>
      </c>
      <c r="D159" s="11">
        <v>1986.7614166633857</v>
      </c>
      <c r="E159" s="10"/>
      <c r="F159" s="10">
        <v>148911.54420790647</v>
      </c>
      <c r="G159" s="10"/>
      <c r="H159" s="10">
        <v>310849.76339560392</v>
      </c>
      <c r="I159" s="11">
        <v>310012.81531199266</v>
      </c>
      <c r="J159" s="10"/>
      <c r="K159" s="11">
        <v>2.8607875280669233</v>
      </c>
      <c r="L159" s="11"/>
      <c r="M159" s="11">
        <v>39.229426699308945</v>
      </c>
      <c r="N159" s="11">
        <v>101.8025552070908</v>
      </c>
      <c r="O159" s="10">
        <v>112.96127935515325</v>
      </c>
      <c r="P159" s="10"/>
      <c r="Q159" s="11"/>
      <c r="R159" s="11">
        <v>4.1333749907100144</v>
      </c>
      <c r="S159" s="10">
        <v>4.0133639444833982</v>
      </c>
      <c r="T159" s="11">
        <v>325.19853341537316</v>
      </c>
      <c r="U159" s="10"/>
      <c r="V159" s="10"/>
      <c r="W159" s="10"/>
      <c r="X159" s="10" t="s">
        <v>114</v>
      </c>
      <c r="Y159" s="11">
        <v>268.32529909977808</v>
      </c>
      <c r="Z159" s="10"/>
      <c r="AA159" s="10"/>
      <c r="AB159" s="10"/>
      <c r="AC159" s="10"/>
      <c r="AD159" s="10"/>
      <c r="AE159" s="10"/>
      <c r="AF159" s="10"/>
      <c r="AG159" s="11">
        <v>19.816636911988152</v>
      </c>
      <c r="AH159" s="11">
        <v>0.37290400355333769</v>
      </c>
      <c r="AI159" s="11">
        <v>0.59610724092900103</v>
      </c>
      <c r="AJ159" s="11">
        <v>8.934279221879278E-2</v>
      </c>
      <c r="AK159" s="11">
        <v>0.3859983264893212</v>
      </c>
      <c r="AL159" s="11">
        <v>0.10007200080040698</v>
      </c>
      <c r="AM159" s="11">
        <v>1.7521093047400019E-2</v>
      </c>
      <c r="AN159" s="11">
        <v>8.3987491098722569E-2</v>
      </c>
      <c r="AO159" s="11">
        <v>1.3602203567496257E-2</v>
      </c>
      <c r="AP159" s="11">
        <v>7.8730851725753129E-2</v>
      </c>
      <c r="AQ159" s="11">
        <v>1.3275169338857199E-2</v>
      </c>
      <c r="AR159" s="11">
        <v>3.5607416899062112E-2</v>
      </c>
      <c r="AS159" s="11">
        <v>5.4756309672621762E-3</v>
      </c>
      <c r="AT159" s="11">
        <v>2.916160194765818E-2</v>
      </c>
      <c r="AU159" s="11">
        <v>4.2483857644411123E-3</v>
      </c>
      <c r="AV159" s="10"/>
      <c r="AW159" s="10"/>
      <c r="AX159" s="10"/>
      <c r="AY159" s="10"/>
      <c r="AZ159" s="10">
        <v>1.4146853704234541</v>
      </c>
      <c r="BA159" s="10">
        <v>1.2381656770676575</v>
      </c>
      <c r="BB159" s="11">
        <v>1.3068243706648766</v>
      </c>
      <c r="BC159" s="11">
        <v>9.9845434573986785E-2</v>
      </c>
      <c r="BD159" s="11">
        <v>0.20099917700971931</v>
      </c>
    </row>
    <row r="160" spans="1:56" x14ac:dyDescent="0.3">
      <c r="A160" t="s">
        <v>271</v>
      </c>
      <c r="B160" t="s">
        <v>55</v>
      </c>
      <c r="C160" s="10">
        <v>4528.8861430315765</v>
      </c>
      <c r="D160" s="11">
        <v>1984.7104519961717</v>
      </c>
      <c r="E160" s="10"/>
      <c r="F160" s="10">
        <v>165523.76714560617</v>
      </c>
      <c r="G160" s="10"/>
      <c r="H160" s="10">
        <v>345474.53265774442</v>
      </c>
      <c r="I160" s="11">
        <v>345121.16656668833</v>
      </c>
      <c r="J160" s="10"/>
      <c r="K160" s="11">
        <v>3.1659663290093483</v>
      </c>
      <c r="L160" s="11"/>
      <c r="M160" s="11">
        <v>58.490989822350393</v>
      </c>
      <c r="N160" s="11">
        <v>211.92143037239819</v>
      </c>
      <c r="O160" s="10">
        <v>219.46668065625326</v>
      </c>
      <c r="P160" s="10"/>
      <c r="Q160" s="11"/>
      <c r="R160" s="11">
        <v>5.0552275040622803</v>
      </c>
      <c r="S160" s="10">
        <v>5.1122770998870752</v>
      </c>
      <c r="T160" s="11">
        <v>269.6241860528184</v>
      </c>
      <c r="U160" s="10"/>
      <c r="V160" s="10"/>
      <c r="W160" s="10"/>
      <c r="X160" s="10">
        <v>0.26805787467887182</v>
      </c>
      <c r="Y160" s="11">
        <v>328.75982146477384</v>
      </c>
      <c r="Z160" s="10"/>
      <c r="AA160" s="10"/>
      <c r="AB160" s="10"/>
      <c r="AC160" s="10"/>
      <c r="AD160" s="10"/>
      <c r="AE160" s="10"/>
      <c r="AF160" s="10"/>
      <c r="AG160" s="11">
        <v>23.223413324142655</v>
      </c>
      <c r="AH160" s="11">
        <v>0.38809868111759338</v>
      </c>
      <c r="AI160" s="11">
        <v>0.76713593432294935</v>
      </c>
      <c r="AJ160" s="11">
        <v>0.1048718593463622</v>
      </c>
      <c r="AK160" s="11">
        <v>0.50176514924478999</v>
      </c>
      <c r="AL160" s="11">
        <v>8.2374579336090353E-2</v>
      </c>
      <c r="AM160" s="11">
        <v>1.9051698730395802E-2</v>
      </c>
      <c r="AN160" s="11">
        <v>8.8679125466383721E-2</v>
      </c>
      <c r="AO160" s="11">
        <v>1.2617884248430297E-2</v>
      </c>
      <c r="AP160" s="11">
        <v>8.7703213901428864E-2</v>
      </c>
      <c r="AQ160" s="11">
        <v>1.136396802066896E-2</v>
      </c>
      <c r="AR160" s="11">
        <v>3.5317013751017833E-2</v>
      </c>
      <c r="AS160" s="11">
        <v>3.8447732576418906E-3</v>
      </c>
      <c r="AT160" s="11">
        <v>3.0529452261596892E-2</v>
      </c>
      <c r="AU160" s="11" t="s">
        <v>114</v>
      </c>
      <c r="AV160" s="10"/>
      <c r="AW160" s="10"/>
      <c r="AX160" s="10"/>
      <c r="AY160" s="10"/>
      <c r="AZ160" s="10">
        <v>0.99038350761435001</v>
      </c>
      <c r="BA160" s="10">
        <v>0.92168737153694902</v>
      </c>
      <c r="BB160" s="11">
        <v>0.94151759851888772</v>
      </c>
      <c r="BC160" s="11">
        <v>0.11559308134940499</v>
      </c>
      <c r="BD160" s="11">
        <v>0.69169506510007539</v>
      </c>
    </row>
    <row r="161" spans="1:56" x14ac:dyDescent="0.3">
      <c r="A161" t="s">
        <v>272</v>
      </c>
      <c r="B161" t="s">
        <v>55</v>
      </c>
      <c r="C161" s="10">
        <v>5693.0524702139573</v>
      </c>
      <c r="D161" s="11">
        <v>2199.9989462207291</v>
      </c>
      <c r="E161" s="10"/>
      <c r="F161" s="10">
        <v>166987.43349647429</v>
      </c>
      <c r="G161" s="10"/>
      <c r="H161" s="10">
        <v>350821.63551918766</v>
      </c>
      <c r="I161" s="11">
        <v>348982.4366945721</v>
      </c>
      <c r="J161" s="10"/>
      <c r="K161" s="11">
        <v>1.6966366754386399</v>
      </c>
      <c r="L161" s="11"/>
      <c r="M161" s="11">
        <v>11.507988169377908</v>
      </c>
      <c r="N161" s="11">
        <v>47.117647002133509</v>
      </c>
      <c r="O161" s="10">
        <v>59.058792115968778</v>
      </c>
      <c r="P161" s="10"/>
      <c r="Q161" s="11"/>
      <c r="R161" s="11">
        <v>2.5117363192926532</v>
      </c>
      <c r="S161" s="10">
        <v>2.4543227160387886</v>
      </c>
      <c r="T161" s="11">
        <v>123.2108588454185</v>
      </c>
      <c r="U161" s="10"/>
      <c r="V161" s="10"/>
      <c r="W161" s="10"/>
      <c r="X161" s="10" t="s">
        <v>114</v>
      </c>
      <c r="Y161" s="11">
        <v>316.8485682767768</v>
      </c>
      <c r="Z161" s="10"/>
      <c r="AA161" s="10"/>
      <c r="AB161" s="10"/>
      <c r="AC161" s="10"/>
      <c r="AD161" s="10"/>
      <c r="AE161" s="10"/>
      <c r="AF161" s="10"/>
      <c r="AG161" s="11">
        <v>18.224253200910951</v>
      </c>
      <c r="AH161" s="11">
        <v>3.6207614030229145E-2</v>
      </c>
      <c r="AI161" s="11">
        <v>9.3772068602141337E-2</v>
      </c>
      <c r="AJ161" s="11" t="s">
        <v>114</v>
      </c>
      <c r="AK161" s="11" t="s">
        <v>114</v>
      </c>
      <c r="AL161" s="11" t="s">
        <v>114</v>
      </c>
      <c r="AM161" s="11" t="s">
        <v>114</v>
      </c>
      <c r="AN161" s="11" t="s">
        <v>114</v>
      </c>
      <c r="AO161" s="11" t="s">
        <v>114</v>
      </c>
      <c r="AP161" s="11" t="s">
        <v>114</v>
      </c>
      <c r="AQ161" s="11" t="s">
        <v>114</v>
      </c>
      <c r="AR161" s="11" t="s">
        <v>114</v>
      </c>
      <c r="AS161" s="11" t="s">
        <v>114</v>
      </c>
      <c r="AT161" s="11" t="s">
        <v>114</v>
      </c>
      <c r="AU161" s="11" t="s">
        <v>114</v>
      </c>
      <c r="AV161" s="10"/>
      <c r="AW161" s="10"/>
      <c r="AX161" s="10"/>
      <c r="AY161" s="10"/>
      <c r="AZ161" s="10">
        <v>0.15126088249252276</v>
      </c>
      <c r="BA161" s="10">
        <v>0.13817773624551982</v>
      </c>
      <c r="BB161" s="11">
        <v>0.14925261558409045</v>
      </c>
      <c r="BC161" s="11">
        <v>9.1397207107569198E-2</v>
      </c>
      <c r="BD161" s="11">
        <v>0.13470101225723424</v>
      </c>
    </row>
    <row r="162" spans="1:56" x14ac:dyDescent="0.3">
      <c r="A162" t="s">
        <v>273</v>
      </c>
      <c r="B162" t="s">
        <v>55</v>
      </c>
      <c r="C162" s="10">
        <v>5810.3291473736117</v>
      </c>
      <c r="D162" s="11">
        <v>3842.9016499111558</v>
      </c>
      <c r="E162" s="10"/>
      <c r="F162" s="10">
        <v>220592.00830920544</v>
      </c>
      <c r="G162" s="10"/>
      <c r="H162" s="10">
        <v>485005.28064639337</v>
      </c>
      <c r="I162" s="11">
        <v>476915.70865393442</v>
      </c>
      <c r="J162" s="10"/>
      <c r="K162" s="11">
        <v>8.165877200666559</v>
      </c>
      <c r="L162" s="11"/>
      <c r="M162" s="11">
        <v>19.534472511669247</v>
      </c>
      <c r="N162" s="11">
        <v>673.63868847944627</v>
      </c>
      <c r="O162" s="10">
        <v>694.01597090299936</v>
      </c>
      <c r="P162" s="10"/>
      <c r="Q162" s="11"/>
      <c r="R162" s="11">
        <v>6.7152870757304974</v>
      </c>
      <c r="S162" s="10">
        <v>6.2323932133763034</v>
      </c>
      <c r="T162" s="11">
        <v>418.04407945851511</v>
      </c>
      <c r="U162" s="10"/>
      <c r="V162" s="10"/>
      <c r="W162" s="10"/>
      <c r="X162" s="10">
        <v>0.70599790447127897</v>
      </c>
      <c r="Y162" s="11">
        <v>431.93232547237574</v>
      </c>
      <c r="Z162" s="10"/>
      <c r="AA162" s="10"/>
      <c r="AB162" s="10"/>
      <c r="AC162" s="10"/>
      <c r="AD162" s="10"/>
      <c r="AE162" s="10"/>
      <c r="AF162" s="10"/>
      <c r="AG162" s="11">
        <v>86.218473237378149</v>
      </c>
      <c r="AH162" s="11">
        <v>1.6095766920465904</v>
      </c>
      <c r="AI162" s="11">
        <v>2.6454211961831948</v>
      </c>
      <c r="AJ162" s="11">
        <v>0.33052524347017503</v>
      </c>
      <c r="AK162" s="11">
        <v>1.411020719869319</v>
      </c>
      <c r="AL162" s="11">
        <v>0.3368049305118293</v>
      </c>
      <c r="AM162" s="11">
        <v>6.4784570039159634E-2</v>
      </c>
      <c r="AN162" s="11">
        <v>0.31435716250889001</v>
      </c>
      <c r="AO162" s="11">
        <v>4.2858632939105794E-2</v>
      </c>
      <c r="AP162" s="11">
        <v>0.26226106731769544</v>
      </c>
      <c r="AQ162" s="11">
        <v>4.6480427640357334E-2</v>
      </c>
      <c r="AR162" s="11">
        <v>0.14350257622401005</v>
      </c>
      <c r="AS162" s="11">
        <v>1.8642122690545684E-2</v>
      </c>
      <c r="AT162" s="11">
        <v>9.8888997532003323E-2</v>
      </c>
      <c r="AU162" s="11">
        <v>1.4735304767491597E-2</v>
      </c>
      <c r="AV162" s="10"/>
      <c r="AW162" s="10"/>
      <c r="AX162" s="10"/>
      <c r="AY162" s="10"/>
      <c r="AZ162" s="10">
        <v>3.892565532374058</v>
      </c>
      <c r="BA162" s="10">
        <v>3.5252786631195288</v>
      </c>
      <c r="BB162" s="11">
        <v>3.6721487257555201</v>
      </c>
      <c r="BC162" s="11">
        <v>0.33108270469162848</v>
      </c>
      <c r="BD162" s="11">
        <v>1.7774179080790167</v>
      </c>
    </row>
    <row r="163" spans="1:56" x14ac:dyDescent="0.3">
      <c r="A163" t="s">
        <v>274</v>
      </c>
      <c r="B163" t="s">
        <v>55</v>
      </c>
      <c r="C163" s="10">
        <v>5960.7939826252559</v>
      </c>
      <c r="D163" s="11">
        <v>4926.0155211120846</v>
      </c>
      <c r="E163" s="10"/>
      <c r="F163" s="10">
        <v>203003.59881060894</v>
      </c>
      <c r="G163" s="10"/>
      <c r="H163" s="10">
        <v>424551.05066660192</v>
      </c>
      <c r="I163" s="11">
        <v>422870.23171950685</v>
      </c>
      <c r="J163" s="10"/>
      <c r="K163" s="11">
        <v>5.87566852932515</v>
      </c>
      <c r="L163" s="11"/>
      <c r="M163" s="11">
        <v>11.728204858666446</v>
      </c>
      <c r="N163" s="11">
        <v>359.67780212768452</v>
      </c>
      <c r="O163" s="10">
        <v>368.0402689634011</v>
      </c>
      <c r="P163" s="10"/>
      <c r="Q163" s="11"/>
      <c r="R163" s="11">
        <v>4.5090547746704157</v>
      </c>
      <c r="S163" s="10">
        <v>4.4273138520154882</v>
      </c>
      <c r="T163" s="11">
        <v>390.44166338263813</v>
      </c>
      <c r="U163" s="10"/>
      <c r="V163" s="10"/>
      <c r="W163" s="10"/>
      <c r="X163" s="10">
        <v>0.39950365791414488</v>
      </c>
      <c r="Y163" s="11">
        <v>377.00060950705176</v>
      </c>
      <c r="Z163" s="10"/>
      <c r="AA163" s="10"/>
      <c r="AB163" s="10"/>
      <c r="AC163" s="10"/>
      <c r="AD163" s="10"/>
      <c r="AE163" s="10"/>
      <c r="AF163" s="10"/>
      <c r="AG163" s="11">
        <v>170.33211092267615</v>
      </c>
      <c r="AH163" s="11">
        <v>1.0609753233362957</v>
      </c>
      <c r="AI163" s="11">
        <v>1.7921473615602563</v>
      </c>
      <c r="AJ163" s="11">
        <v>0.2395194440070047</v>
      </c>
      <c r="AK163" s="11">
        <v>1.0644666896370607</v>
      </c>
      <c r="AL163" s="11">
        <v>0.20223929534583504</v>
      </c>
      <c r="AM163" s="11">
        <v>5.0323488421962624E-2</v>
      </c>
      <c r="AN163" s="11">
        <v>0.19798423550842897</v>
      </c>
      <c r="AO163" s="11">
        <v>3.0357446294546973E-2</v>
      </c>
      <c r="AP163" s="11">
        <v>0.16860718541211023</v>
      </c>
      <c r="AQ163" s="11">
        <v>3.9305515835731428E-2</v>
      </c>
      <c r="AR163" s="11">
        <v>0.10027156562980485</v>
      </c>
      <c r="AS163" s="11">
        <v>1.0553520634552362E-2</v>
      </c>
      <c r="AT163" s="11">
        <v>7.4154454150841334E-2</v>
      </c>
      <c r="AU163" s="11">
        <v>1.0213404946302893E-2</v>
      </c>
      <c r="AV163" s="10"/>
      <c r="AW163" s="10"/>
      <c r="AX163" s="10"/>
      <c r="AY163" s="10"/>
      <c r="AZ163" s="10">
        <v>2.6998303518733096</v>
      </c>
      <c r="BA163" s="10">
        <v>2.4025570190740351</v>
      </c>
      <c r="BB163" s="11">
        <v>2.4841726459672318</v>
      </c>
      <c r="BC163" s="11">
        <v>0.19959124631045552</v>
      </c>
      <c r="BD163" s="11">
        <v>1.5980189177079267</v>
      </c>
    </row>
    <row r="164" spans="1:56" x14ac:dyDescent="0.3">
      <c r="A164" t="s">
        <v>275</v>
      </c>
      <c r="B164" t="s">
        <v>55</v>
      </c>
      <c r="C164" s="10">
        <v>6289.3993153161082</v>
      </c>
      <c r="D164" s="11">
        <v>4691.392327173533</v>
      </c>
      <c r="E164" s="10"/>
      <c r="F164" s="10">
        <v>213598.07572200621</v>
      </c>
      <c r="G164" s="10"/>
      <c r="H164" s="10">
        <v>453655.24242339138</v>
      </c>
      <c r="I164" s="11">
        <v>452471.70115494885</v>
      </c>
      <c r="J164" s="10"/>
      <c r="K164" s="11">
        <v>5.0998726143009971</v>
      </c>
      <c r="L164" s="11"/>
      <c r="M164" s="11">
        <v>10.696400122020455</v>
      </c>
      <c r="N164" s="11">
        <v>423.96012735560049</v>
      </c>
      <c r="O164" s="10">
        <v>439.11963592215028</v>
      </c>
      <c r="P164" s="10"/>
      <c r="Q164" s="11"/>
      <c r="R164" s="11">
        <v>4.0312082989693971</v>
      </c>
      <c r="S164" s="10">
        <v>4.16658135535386</v>
      </c>
      <c r="T164" s="11">
        <v>326.03388258492595</v>
      </c>
      <c r="U164" s="10"/>
      <c r="V164" s="10"/>
      <c r="W164" s="10"/>
      <c r="X164" s="10">
        <v>0.52734457382043309</v>
      </c>
      <c r="Y164" s="11">
        <v>361.25636775098451</v>
      </c>
      <c r="Z164" s="10"/>
      <c r="AA164" s="10"/>
      <c r="AB164" s="10"/>
      <c r="AC164" s="10"/>
      <c r="AD164" s="10"/>
      <c r="AE164" s="10"/>
      <c r="AF164" s="10"/>
      <c r="AG164" s="11">
        <v>82.798067002108965</v>
      </c>
      <c r="AH164" s="11">
        <v>0.75160985722544937</v>
      </c>
      <c r="AI164" s="11">
        <v>1.3016258574253281</v>
      </c>
      <c r="AJ164" s="11">
        <v>0.15974874657704469</v>
      </c>
      <c r="AK164" s="11">
        <v>0.63279882342269711</v>
      </c>
      <c r="AL164" s="11">
        <v>0.15575953280609359</v>
      </c>
      <c r="AM164" s="11">
        <v>2.7027221754629627E-2</v>
      </c>
      <c r="AN164" s="11">
        <v>0.1446879789198533</v>
      </c>
      <c r="AO164" s="11">
        <v>2.2665610564931649E-2</v>
      </c>
      <c r="AP164" s="11">
        <v>0.13098527955903852</v>
      </c>
      <c r="AQ164" s="11">
        <v>2.1097708762442706E-2</v>
      </c>
      <c r="AR164" s="11">
        <v>6.9261761799452287E-2</v>
      </c>
      <c r="AS164" s="11">
        <v>9.023555652702922E-3</v>
      </c>
      <c r="AT164" s="11">
        <v>4.2781259670306812E-2</v>
      </c>
      <c r="AU164" s="11">
        <v>6.7418314937284255E-3</v>
      </c>
      <c r="AV164" s="10"/>
      <c r="AW164" s="10"/>
      <c r="AX164" s="10"/>
      <c r="AY164" s="10"/>
      <c r="AZ164" s="10">
        <v>2.1862461234049877</v>
      </c>
      <c r="BA164" s="10">
        <v>1.9458242164730934</v>
      </c>
      <c r="BB164" s="11">
        <v>2.0343474648030146</v>
      </c>
      <c r="BC164" s="11">
        <v>0.18695079325061609</v>
      </c>
      <c r="BD164" s="11">
        <v>1.6870654657658661</v>
      </c>
    </row>
    <row r="165" spans="1:56" x14ac:dyDescent="0.3">
      <c r="A165" t="s">
        <v>276</v>
      </c>
      <c r="B165" t="s">
        <v>55</v>
      </c>
      <c r="C165" s="10">
        <v>9909.6148197452767</v>
      </c>
      <c r="D165" s="11">
        <v>3832.5095943242022</v>
      </c>
      <c r="E165" s="10"/>
      <c r="F165" s="10">
        <v>297918.3590080929</v>
      </c>
      <c r="G165" s="10"/>
      <c r="H165" s="10">
        <v>634130.59621401469</v>
      </c>
      <c r="I165" s="11">
        <v>624055.41708920407</v>
      </c>
      <c r="J165" s="10"/>
      <c r="K165" s="11">
        <v>2.7664822543227436</v>
      </c>
      <c r="L165" s="11"/>
      <c r="M165" s="11">
        <v>8.0185990696473119</v>
      </c>
      <c r="N165" s="11">
        <v>171.19612097015619</v>
      </c>
      <c r="O165" s="10">
        <v>193.59237180805798</v>
      </c>
      <c r="P165" s="10"/>
      <c r="Q165" s="11"/>
      <c r="R165" s="11">
        <v>5.1814773430301688</v>
      </c>
      <c r="S165" s="10">
        <v>5.3566515804734074</v>
      </c>
      <c r="T165" s="11">
        <v>244.59762976336171</v>
      </c>
      <c r="U165" s="10"/>
      <c r="V165" s="10"/>
      <c r="W165" s="10"/>
      <c r="X165" s="10" t="s">
        <v>114</v>
      </c>
      <c r="Y165" s="11">
        <v>606.13892582267533</v>
      </c>
      <c r="Z165" s="10"/>
      <c r="AA165" s="10"/>
      <c r="AB165" s="10"/>
      <c r="AC165" s="10"/>
      <c r="AD165" s="10"/>
      <c r="AE165" s="10"/>
      <c r="AF165" s="10"/>
      <c r="AG165" s="11">
        <v>237.7652498947846</v>
      </c>
      <c r="AH165" s="11">
        <v>0.27910374513618397</v>
      </c>
      <c r="AI165" s="11">
        <v>0.49738774477555175</v>
      </c>
      <c r="AJ165" s="11">
        <v>6.1249348182198751E-2</v>
      </c>
      <c r="AK165" s="11">
        <v>0.32288748671890277</v>
      </c>
      <c r="AL165" s="11">
        <v>5.1818235931609252E-2</v>
      </c>
      <c r="AM165" s="11">
        <v>1.2624727668295732E-2</v>
      </c>
      <c r="AN165" s="11">
        <v>6.5415324578836351E-2</v>
      </c>
      <c r="AO165" s="11">
        <v>1.0625240615408291E-2</v>
      </c>
      <c r="AP165" s="11">
        <v>6.2365632407162204E-2</v>
      </c>
      <c r="AQ165" s="11">
        <v>9.6902750338220215E-3</v>
      </c>
      <c r="AR165" s="11">
        <v>2.6410527589832703E-2</v>
      </c>
      <c r="AS165" s="11">
        <v>4.5315837777734607E-3</v>
      </c>
      <c r="AT165" s="11">
        <v>2.2632170649261853E-2</v>
      </c>
      <c r="AU165" s="11" t="s">
        <v>114</v>
      </c>
      <c r="AV165" s="10"/>
      <c r="AW165" s="10"/>
      <c r="AX165" s="10"/>
      <c r="AY165" s="10"/>
      <c r="AZ165" s="10">
        <v>1.2274065077460774</v>
      </c>
      <c r="BA165" s="10">
        <v>1.1089987221182267</v>
      </c>
      <c r="BB165" s="11">
        <v>1.158854100460369</v>
      </c>
      <c r="BC165" s="11">
        <v>0.15168016575498353</v>
      </c>
      <c r="BD165" s="11">
        <v>3.0204001827045253</v>
      </c>
    </row>
    <row r="166" spans="1:56" x14ac:dyDescent="0.3">
      <c r="A166" t="s">
        <v>277</v>
      </c>
      <c r="B166" t="s">
        <v>55</v>
      </c>
      <c r="C166" s="10">
        <v>8857.179327450971</v>
      </c>
      <c r="D166" s="11">
        <v>4024.3316335363866</v>
      </c>
      <c r="E166" s="10"/>
      <c r="F166" s="10">
        <v>321870.04369215114</v>
      </c>
      <c r="G166" s="10"/>
      <c r="H166" s="10">
        <v>694251.69922531152</v>
      </c>
      <c r="I166" s="11">
        <v>690705.49512465065</v>
      </c>
      <c r="J166" s="10"/>
      <c r="K166" s="11">
        <v>6.7474095167815147</v>
      </c>
      <c r="L166" s="11"/>
      <c r="M166" s="11">
        <v>23.323900233655209</v>
      </c>
      <c r="N166" s="11">
        <v>980.02454815289445</v>
      </c>
      <c r="O166" s="10">
        <v>1001.3619734866777</v>
      </c>
      <c r="P166" s="10"/>
      <c r="Q166" s="11"/>
      <c r="R166" s="11">
        <v>75.484472280807523</v>
      </c>
      <c r="S166" s="10">
        <v>74.924931836082322</v>
      </c>
      <c r="T166" s="11">
        <v>365.90988892382825</v>
      </c>
      <c r="U166" s="10"/>
      <c r="V166" s="10"/>
      <c r="W166" s="10"/>
      <c r="X166" s="10">
        <v>0.96358430246766746</v>
      </c>
      <c r="Y166" s="11">
        <v>506.4808152106591</v>
      </c>
      <c r="Z166" s="10"/>
      <c r="AA166" s="10"/>
      <c r="AB166" s="10"/>
      <c r="AC166" s="10"/>
      <c r="AD166" s="10"/>
      <c r="AE166" s="10"/>
      <c r="AF166" s="10"/>
      <c r="AG166" s="11">
        <v>330.73411789120905</v>
      </c>
      <c r="AH166" s="11">
        <v>2.0215564773044199</v>
      </c>
      <c r="AI166" s="11">
        <v>3.8550592558003332</v>
      </c>
      <c r="AJ166" s="11">
        <v>0.4165305247110862</v>
      </c>
      <c r="AK166" s="11">
        <v>1.8924916708695609</v>
      </c>
      <c r="AL166" s="11">
        <v>0.38870169627196122</v>
      </c>
      <c r="AM166" s="11">
        <v>9.4466924332895622E-2</v>
      </c>
      <c r="AN166" s="11">
        <v>0.40898249207958975</v>
      </c>
      <c r="AO166" s="11">
        <v>6.6231419505787786E-2</v>
      </c>
      <c r="AP166" s="11">
        <v>0.32978190019687231</v>
      </c>
      <c r="AQ166" s="11">
        <v>6.6878976876531077E-2</v>
      </c>
      <c r="AR166" s="11">
        <v>0.18653766944699093</v>
      </c>
      <c r="AS166" s="11">
        <v>2.7005581037935617E-2</v>
      </c>
      <c r="AT166" s="11">
        <v>0.1386441519145247</v>
      </c>
      <c r="AU166" s="11">
        <v>2.4748096350322723E-2</v>
      </c>
      <c r="AV166" s="10"/>
      <c r="AW166" s="10"/>
      <c r="AX166" s="10"/>
      <c r="AY166" s="10"/>
      <c r="AZ166" s="10">
        <v>10.58174418253674</v>
      </c>
      <c r="BA166" s="10">
        <v>9.7709036842404196</v>
      </c>
      <c r="BB166" s="11">
        <v>10.078220125190194</v>
      </c>
      <c r="BC166" s="11">
        <v>0.23457186240557062</v>
      </c>
      <c r="BD166" s="11">
        <v>3.0849624989532094</v>
      </c>
    </row>
    <row r="167" spans="1:56" x14ac:dyDescent="0.3">
      <c r="A167" t="s">
        <v>278</v>
      </c>
      <c r="B167" t="s">
        <v>55</v>
      </c>
      <c r="C167" s="10">
        <v>6947.5726927627138</v>
      </c>
      <c r="D167" s="11">
        <v>2141.2746198312552</v>
      </c>
      <c r="E167" s="10"/>
      <c r="F167" s="10">
        <v>188994.07144528494</v>
      </c>
      <c r="G167" s="10"/>
      <c r="H167" s="10">
        <v>391953.02671825531</v>
      </c>
      <c r="I167" s="11">
        <v>387830.4822757119</v>
      </c>
      <c r="J167" s="10"/>
      <c r="K167" s="11">
        <v>1.0012793641459268</v>
      </c>
      <c r="L167" s="11"/>
      <c r="M167" s="11">
        <v>2.0355283132701341</v>
      </c>
      <c r="N167" s="11">
        <v>27.851261343441799</v>
      </c>
      <c r="O167" s="10">
        <v>40.601078862889786</v>
      </c>
      <c r="P167" s="10"/>
      <c r="Q167" s="11"/>
      <c r="R167" s="11">
        <v>5.5534468154965335</v>
      </c>
      <c r="S167" s="10">
        <v>5.4191498769536937</v>
      </c>
      <c r="T167" s="11">
        <v>108.38800692303278</v>
      </c>
      <c r="U167" s="10"/>
      <c r="V167" s="10"/>
      <c r="W167" s="10"/>
      <c r="X167" s="10" t="s">
        <v>114</v>
      </c>
      <c r="Y167" s="11">
        <v>317.64249671814582</v>
      </c>
      <c r="Z167" s="10"/>
      <c r="AA167" s="10"/>
      <c r="AB167" s="10"/>
      <c r="AC167" s="10"/>
      <c r="AD167" s="10"/>
      <c r="AE167" s="10"/>
      <c r="AF167" s="10"/>
      <c r="AG167" s="11">
        <v>15.819244102535702</v>
      </c>
      <c r="AH167" s="11">
        <v>5.6850370172611228E-2</v>
      </c>
      <c r="AI167" s="11">
        <v>0.1363969836000852</v>
      </c>
      <c r="AJ167" s="11" t="s">
        <v>114</v>
      </c>
      <c r="AK167" s="11">
        <v>9.9464469179240761E-2</v>
      </c>
      <c r="AL167" s="11" t="s">
        <v>114</v>
      </c>
      <c r="AM167" s="11" t="s">
        <v>114</v>
      </c>
      <c r="AN167" s="11" t="s">
        <v>114</v>
      </c>
      <c r="AO167" s="11" t="s">
        <v>114</v>
      </c>
      <c r="AP167" s="11" t="s">
        <v>114</v>
      </c>
      <c r="AQ167" s="11" t="s">
        <v>114</v>
      </c>
      <c r="AR167" s="11" t="s">
        <v>114</v>
      </c>
      <c r="AS167" s="11" t="s">
        <v>114</v>
      </c>
      <c r="AT167" s="11" t="s">
        <v>114</v>
      </c>
      <c r="AU167" s="11" t="s">
        <v>114</v>
      </c>
      <c r="AV167" s="10"/>
      <c r="AW167" s="10"/>
      <c r="AX167" s="10"/>
      <c r="AY167" s="10"/>
      <c r="AZ167" s="10">
        <v>0.44928891007602056</v>
      </c>
      <c r="BA167" s="10">
        <v>0.409485759565337</v>
      </c>
      <c r="BB167" s="11">
        <v>0.41917008479054441</v>
      </c>
      <c r="BC167" s="11">
        <v>0.11014731363229673</v>
      </c>
      <c r="BD167" s="11">
        <v>0.80939295104715303</v>
      </c>
    </row>
    <row r="168" spans="1:56" x14ac:dyDescent="0.3">
      <c r="A168" t="s">
        <v>279</v>
      </c>
      <c r="B168" t="s">
        <v>55</v>
      </c>
      <c r="C168" s="10">
        <v>4664.6433175881466</v>
      </c>
      <c r="D168" s="11">
        <v>2122.9733818111595</v>
      </c>
      <c r="E168" s="10"/>
      <c r="F168" s="10">
        <v>162843.60492834655</v>
      </c>
      <c r="G168" s="10"/>
      <c r="H168" s="10">
        <v>338530.24727013323</v>
      </c>
      <c r="I168" s="11">
        <v>335383.11552836339</v>
      </c>
      <c r="J168" s="10"/>
      <c r="K168" s="11">
        <v>1.541073443735633</v>
      </c>
      <c r="L168" s="11"/>
      <c r="M168" s="11">
        <v>13.415967673976114</v>
      </c>
      <c r="N168" s="11">
        <v>156.91345488344862</v>
      </c>
      <c r="O168" s="10">
        <v>169.76447827885582</v>
      </c>
      <c r="P168" s="10"/>
      <c r="Q168" s="11"/>
      <c r="R168" s="11">
        <v>25.968510438765364</v>
      </c>
      <c r="S168" s="10">
        <v>25.612639510070295</v>
      </c>
      <c r="T168" s="11">
        <v>207.80301355310934</v>
      </c>
      <c r="U168" s="10"/>
      <c r="V168" s="10"/>
      <c r="W168" s="10"/>
      <c r="X168" s="10">
        <v>0.24657472535447486</v>
      </c>
      <c r="Y168" s="11">
        <v>280.11928044868398</v>
      </c>
      <c r="Z168" s="10"/>
      <c r="AA168" s="10"/>
      <c r="AB168" s="10"/>
      <c r="AC168" s="10"/>
      <c r="AD168" s="10"/>
      <c r="AE168" s="10"/>
      <c r="AF168" s="10"/>
      <c r="AG168" s="11">
        <v>53.471179296710147</v>
      </c>
      <c r="AH168" s="11">
        <v>0.31095953491464429</v>
      </c>
      <c r="AI168" s="11">
        <v>0.59800221905187068</v>
      </c>
      <c r="AJ168" s="11">
        <v>7.0163089925157476E-2</v>
      </c>
      <c r="AK168" s="11">
        <v>0.31561584139969201</v>
      </c>
      <c r="AL168" s="11">
        <v>6.6054823038916494E-2</v>
      </c>
      <c r="AM168" s="11">
        <v>1.5273315524840157E-2</v>
      </c>
      <c r="AN168" s="11">
        <v>5.7251645066732623E-2</v>
      </c>
      <c r="AO168" s="11">
        <v>8.8416323717347058E-3</v>
      </c>
      <c r="AP168" s="11">
        <v>3.8228724842045286E-2</v>
      </c>
      <c r="AQ168" s="11">
        <v>9.2448512551714275E-3</v>
      </c>
      <c r="AR168" s="11">
        <v>2.7393413325885737E-2</v>
      </c>
      <c r="AS168" s="11">
        <v>3.7340539764127772E-3</v>
      </c>
      <c r="AT168" s="11">
        <v>2.6694222670135718E-2</v>
      </c>
      <c r="AU168" s="11" t="s">
        <v>114</v>
      </c>
      <c r="AV168" s="10"/>
      <c r="AW168" s="10"/>
      <c r="AX168" s="10"/>
      <c r="AY168" s="10"/>
      <c r="AZ168" s="10">
        <v>1.6355362935916931</v>
      </c>
      <c r="BA168" s="10">
        <v>1.4840767803052648</v>
      </c>
      <c r="BB168" s="11">
        <v>1.554883649050151</v>
      </c>
      <c r="BC168" s="11">
        <v>0.14047295799074214</v>
      </c>
      <c r="BD168" s="11">
        <v>0.47480595482845811</v>
      </c>
    </row>
    <row r="169" spans="1:56" x14ac:dyDescent="0.3">
      <c r="A169" t="s">
        <v>280</v>
      </c>
      <c r="B169" t="s">
        <v>55</v>
      </c>
      <c r="C169" s="10">
        <v>4575.8201424517902</v>
      </c>
      <c r="D169" s="11">
        <v>1706.8111917168321</v>
      </c>
      <c r="E169" s="10"/>
      <c r="F169" s="10">
        <v>174390.93095890529</v>
      </c>
      <c r="G169" s="10"/>
      <c r="H169" s="10">
        <v>358534.2374500077</v>
      </c>
      <c r="I169" s="11">
        <v>356351.14879608148</v>
      </c>
      <c r="J169" s="10"/>
      <c r="K169" s="11">
        <v>1.1622258111937067</v>
      </c>
      <c r="L169" s="11"/>
      <c r="M169" s="11">
        <v>8.8988958170668671</v>
      </c>
      <c r="N169" s="11">
        <v>68.550996376101921</v>
      </c>
      <c r="O169" s="10">
        <v>75.639578870271677</v>
      </c>
      <c r="P169" s="10"/>
      <c r="Q169" s="11"/>
      <c r="R169" s="11">
        <v>6.8700539745381777</v>
      </c>
      <c r="S169" s="10">
        <v>6.8991897484759299</v>
      </c>
      <c r="T169" s="11">
        <v>218.66322272868433</v>
      </c>
      <c r="U169" s="10"/>
      <c r="V169" s="10"/>
      <c r="W169" s="10"/>
      <c r="X169" s="10" t="s">
        <v>114</v>
      </c>
      <c r="Y169" s="11">
        <v>230.16425896957136</v>
      </c>
      <c r="Z169" s="10"/>
      <c r="AA169" s="10"/>
      <c r="AB169" s="10"/>
      <c r="AC169" s="10"/>
      <c r="AD169" s="10"/>
      <c r="AE169" s="10"/>
      <c r="AF169" s="10"/>
      <c r="AG169" s="11">
        <v>29.491092537763091</v>
      </c>
      <c r="AH169" s="11">
        <v>0.1580577939990796</v>
      </c>
      <c r="AI169" s="11">
        <v>0.22501245918025201</v>
      </c>
      <c r="AJ169" s="11">
        <v>3.952009232586539E-2</v>
      </c>
      <c r="AK169" s="11">
        <v>0.12081941034338559</v>
      </c>
      <c r="AL169" s="11">
        <v>3.4501380698213201E-2</v>
      </c>
      <c r="AM169" s="11" t="s">
        <v>114</v>
      </c>
      <c r="AN169" s="11">
        <v>3.8128798609105952E-2</v>
      </c>
      <c r="AO169" s="11">
        <v>7.3342977364139724E-3</v>
      </c>
      <c r="AP169" s="11">
        <v>2.5006142989150371E-2</v>
      </c>
      <c r="AQ169" s="11" t="s">
        <v>114</v>
      </c>
      <c r="AR169" s="11">
        <v>1.8678180241904214E-2</v>
      </c>
      <c r="AS169" s="11" t="s">
        <v>114</v>
      </c>
      <c r="AT169" s="11" t="s">
        <v>114</v>
      </c>
      <c r="AU169" s="11" t="s">
        <v>114</v>
      </c>
      <c r="AV169" s="10"/>
      <c r="AW169" s="10"/>
      <c r="AX169" s="10"/>
      <c r="AY169" s="10"/>
      <c r="AZ169" s="10">
        <v>0.48280456234460201</v>
      </c>
      <c r="BA169" s="10">
        <v>0.42931998417071471</v>
      </c>
      <c r="BB169" s="11">
        <v>0.45354485480016338</v>
      </c>
      <c r="BC169" s="11">
        <v>0.10960567596436416</v>
      </c>
      <c r="BD169" s="11">
        <v>7.0842012824128345E-2</v>
      </c>
    </row>
    <row r="170" spans="1:56" x14ac:dyDescent="0.3">
      <c r="A170" t="s">
        <v>281</v>
      </c>
      <c r="B170" t="s">
        <v>55</v>
      </c>
      <c r="C170" s="10">
        <v>4889.7588963528633</v>
      </c>
      <c r="D170" s="11">
        <v>2294.1615309165604</v>
      </c>
      <c r="E170" s="10"/>
      <c r="F170" s="10">
        <v>180000.53763696362</v>
      </c>
      <c r="G170" s="10"/>
      <c r="H170" s="10">
        <v>370523.16055477003</v>
      </c>
      <c r="I170" s="11">
        <v>366344.11630749708</v>
      </c>
      <c r="J170" s="10"/>
      <c r="K170" s="11">
        <v>1.802327075836311</v>
      </c>
      <c r="L170" s="11"/>
      <c r="M170" s="11">
        <v>14.069413252112184</v>
      </c>
      <c r="N170" s="11">
        <v>158.00487722395241</v>
      </c>
      <c r="O170" s="10">
        <v>177.18183360340012</v>
      </c>
      <c r="P170" s="10"/>
      <c r="Q170" s="11"/>
      <c r="R170" s="11">
        <v>16.549498648739668</v>
      </c>
      <c r="S170" s="10">
        <v>16.431635781956768</v>
      </c>
      <c r="T170" s="11">
        <v>339.98917344532521</v>
      </c>
      <c r="U170" s="10"/>
      <c r="V170" s="10"/>
      <c r="W170" s="10"/>
      <c r="X170" s="10" t="s">
        <v>114</v>
      </c>
      <c r="Y170" s="11">
        <v>190.88313628322896</v>
      </c>
      <c r="Z170" s="10"/>
      <c r="AA170" s="10"/>
      <c r="AB170" s="10"/>
      <c r="AC170" s="10"/>
      <c r="AD170" s="10"/>
      <c r="AE170" s="10"/>
      <c r="AF170" s="10"/>
      <c r="AG170" s="11">
        <v>29.942014218056428</v>
      </c>
      <c r="AH170" s="11">
        <v>0.32458102270345801</v>
      </c>
      <c r="AI170" s="11">
        <v>0.53614562899305274</v>
      </c>
      <c r="AJ170" s="11">
        <v>7.7027883034602229E-2</v>
      </c>
      <c r="AK170" s="11">
        <v>0.32312718384846539</v>
      </c>
      <c r="AL170" s="11">
        <v>6.0458604713879378E-2</v>
      </c>
      <c r="AM170" s="11">
        <v>1.6822016329789365E-2</v>
      </c>
      <c r="AN170" s="11">
        <v>6.7161025613823019E-2</v>
      </c>
      <c r="AO170" s="11">
        <v>1.2692600530749708E-2</v>
      </c>
      <c r="AP170" s="11">
        <v>5.9110581595947717E-2</v>
      </c>
      <c r="AQ170" s="11">
        <v>1.0004224464321015E-2</v>
      </c>
      <c r="AR170" s="11">
        <v>2.7000314804325375E-2</v>
      </c>
      <c r="AS170" s="11">
        <v>4.9053159638117747E-3</v>
      </c>
      <c r="AT170" s="11">
        <v>2.5176719711599717E-2</v>
      </c>
      <c r="AU170" s="11" t="s">
        <v>114</v>
      </c>
      <c r="AV170" s="10"/>
      <c r="AW170" s="10"/>
      <c r="AX170" s="10"/>
      <c r="AY170" s="10"/>
      <c r="AZ170" s="10">
        <v>3.0912015592900532</v>
      </c>
      <c r="BA170" s="10">
        <v>2.8011726189105683</v>
      </c>
      <c r="BB170" s="11">
        <v>2.911604888141567</v>
      </c>
      <c r="BC170" s="11">
        <v>0.11485250564864548</v>
      </c>
      <c r="BD170" s="11">
        <v>0.50596929903242471</v>
      </c>
    </row>
    <row r="171" spans="1:56" x14ac:dyDescent="0.3">
      <c r="A171" t="s">
        <v>282</v>
      </c>
      <c r="B171" t="s">
        <v>55</v>
      </c>
      <c r="C171" s="10">
        <v>5114.9828066394348</v>
      </c>
      <c r="D171" s="11">
        <v>2183.2382131575523</v>
      </c>
      <c r="E171" s="10"/>
      <c r="F171" s="10">
        <v>137453.53483684815</v>
      </c>
      <c r="G171" s="10"/>
      <c r="H171" s="10">
        <v>287219.27036152378</v>
      </c>
      <c r="I171" s="11">
        <v>284349.27694189182</v>
      </c>
      <c r="J171" s="10"/>
      <c r="K171" s="11">
        <v>2.2321823914630246</v>
      </c>
      <c r="L171" s="11"/>
      <c r="M171" s="11">
        <v>3.2977849221373901</v>
      </c>
      <c r="N171" s="11">
        <v>36.796913302065398</v>
      </c>
      <c r="O171" s="10">
        <v>49.527974576677131</v>
      </c>
      <c r="P171" s="10"/>
      <c r="Q171" s="11"/>
      <c r="R171" s="11">
        <v>13.017589287519392</v>
      </c>
      <c r="S171" s="10">
        <v>12.687386439548137</v>
      </c>
      <c r="T171" s="11">
        <v>153.15620465533496</v>
      </c>
      <c r="U171" s="10"/>
      <c r="V171" s="10"/>
      <c r="W171" s="10"/>
      <c r="X171" s="10" t="s">
        <v>114</v>
      </c>
      <c r="Y171" s="11">
        <v>196.19496930198733</v>
      </c>
      <c r="Z171" s="10"/>
      <c r="AA171" s="10"/>
      <c r="AB171" s="10"/>
      <c r="AC171" s="10"/>
      <c r="AD171" s="10"/>
      <c r="AE171" s="10"/>
      <c r="AF171" s="10"/>
      <c r="AG171" s="11">
        <v>12.326380404485711</v>
      </c>
      <c r="AH171" s="11">
        <v>5.2280428379964571E-2</v>
      </c>
      <c r="AI171" s="11">
        <v>5.8023190815371946E-2</v>
      </c>
      <c r="AJ171" s="11" t="s">
        <v>114</v>
      </c>
      <c r="AK171" s="11" t="s">
        <v>114</v>
      </c>
      <c r="AL171" s="11" t="s">
        <v>114</v>
      </c>
      <c r="AM171" s="11" t="s">
        <v>114</v>
      </c>
      <c r="AN171" s="11" t="s">
        <v>114</v>
      </c>
      <c r="AO171" s="11" t="s">
        <v>114</v>
      </c>
      <c r="AP171" s="11" t="s">
        <v>114</v>
      </c>
      <c r="AQ171" s="11" t="s">
        <v>114</v>
      </c>
      <c r="AR171" s="11" t="s">
        <v>114</v>
      </c>
      <c r="AS171" s="11" t="s">
        <v>114</v>
      </c>
      <c r="AT171" s="11" t="s">
        <v>114</v>
      </c>
      <c r="AU171" s="11" t="s">
        <v>114</v>
      </c>
      <c r="AV171" s="10"/>
      <c r="AW171" s="10"/>
      <c r="AX171" s="10"/>
      <c r="AY171" s="10"/>
      <c r="AZ171" s="10">
        <v>18.700066179877091</v>
      </c>
      <c r="BA171" s="10">
        <v>17.088741868664336</v>
      </c>
      <c r="BB171" s="11">
        <v>17.740870367623408</v>
      </c>
      <c r="BC171" s="11">
        <v>9.4833236720929234E-2</v>
      </c>
      <c r="BD171" s="11">
        <v>4.3374393959111225E-2</v>
      </c>
    </row>
    <row r="172" spans="1:56" x14ac:dyDescent="0.3">
      <c r="A172" t="s">
        <v>283</v>
      </c>
      <c r="B172" t="s">
        <v>55</v>
      </c>
      <c r="C172" s="10">
        <v>5693.4647495102035</v>
      </c>
      <c r="D172" s="11">
        <v>2311.6886072139141</v>
      </c>
      <c r="E172" s="10"/>
      <c r="F172" s="10">
        <v>149473.16126179972</v>
      </c>
      <c r="G172" s="10"/>
      <c r="H172" s="10">
        <v>311089.00025422208</v>
      </c>
      <c r="I172" s="11">
        <v>308458.86693685781</v>
      </c>
      <c r="J172" s="10"/>
      <c r="K172" s="11">
        <v>2.4943809657808491</v>
      </c>
      <c r="L172" s="11"/>
      <c r="M172" s="11">
        <v>2.2311774953479984</v>
      </c>
      <c r="N172" s="11">
        <v>27.137778360026722</v>
      </c>
      <c r="O172" s="10">
        <v>36.223735181919999</v>
      </c>
      <c r="P172" s="10"/>
      <c r="Q172" s="11"/>
      <c r="R172" s="11">
        <v>19.652797965646588</v>
      </c>
      <c r="S172" s="10">
        <v>19.35554208168449</v>
      </c>
      <c r="T172" s="11">
        <v>156.51434813935717</v>
      </c>
      <c r="U172" s="10"/>
      <c r="V172" s="10"/>
      <c r="W172" s="10"/>
      <c r="X172" s="10" t="s">
        <v>114</v>
      </c>
      <c r="Y172" s="11">
        <v>238.1636584625638</v>
      </c>
      <c r="Z172" s="10"/>
      <c r="AA172" s="10"/>
      <c r="AB172" s="10"/>
      <c r="AC172" s="10"/>
      <c r="AD172" s="10"/>
      <c r="AE172" s="10"/>
      <c r="AF172" s="10"/>
      <c r="AG172" s="11">
        <v>16.422452268008239</v>
      </c>
      <c r="AH172" s="11">
        <v>4.8408341976652225E-2</v>
      </c>
      <c r="AI172" s="11">
        <v>5.5399655028349176E-2</v>
      </c>
      <c r="AJ172" s="11" t="s">
        <v>114</v>
      </c>
      <c r="AK172" s="11" t="s">
        <v>114</v>
      </c>
      <c r="AL172" s="11" t="s">
        <v>114</v>
      </c>
      <c r="AM172" s="11" t="s">
        <v>114</v>
      </c>
      <c r="AN172" s="11" t="s">
        <v>114</v>
      </c>
      <c r="AO172" s="11" t="s">
        <v>114</v>
      </c>
      <c r="AP172" s="11" t="s">
        <v>114</v>
      </c>
      <c r="AQ172" s="11" t="s">
        <v>114</v>
      </c>
      <c r="AR172" s="11" t="s">
        <v>114</v>
      </c>
      <c r="AS172" s="11" t="s">
        <v>114</v>
      </c>
      <c r="AT172" s="11" t="s">
        <v>114</v>
      </c>
      <c r="AU172" s="11" t="s">
        <v>114</v>
      </c>
      <c r="AV172" s="10"/>
      <c r="AW172" s="10"/>
      <c r="AX172" s="10"/>
      <c r="AY172" s="10"/>
      <c r="AZ172" s="10">
        <v>12.630835702927831</v>
      </c>
      <c r="BA172" s="10">
        <v>11.363789411965731</v>
      </c>
      <c r="BB172" s="11">
        <v>11.856282191118535</v>
      </c>
      <c r="BC172" s="11">
        <v>9.7521825714816407E-2</v>
      </c>
      <c r="BD172" s="11">
        <v>9.5078384193230156E-2</v>
      </c>
    </row>
    <row r="173" spans="1:56" x14ac:dyDescent="0.3">
      <c r="A173" t="s">
        <v>284</v>
      </c>
      <c r="B173" t="s">
        <v>55</v>
      </c>
      <c r="C173" s="10">
        <v>7876.3048984126153</v>
      </c>
      <c r="D173" s="11">
        <v>3435.9395827938629</v>
      </c>
      <c r="E173" s="10"/>
      <c r="F173" s="10">
        <v>225732.98071323632</v>
      </c>
      <c r="G173" s="10"/>
      <c r="H173" s="10">
        <v>480305.10633122281</v>
      </c>
      <c r="I173" s="11">
        <v>478605.32945599174</v>
      </c>
      <c r="J173" s="10"/>
      <c r="K173" s="11">
        <v>3.6968398433486933</v>
      </c>
      <c r="L173" s="11"/>
      <c r="M173" s="11">
        <v>3.4898199009314759</v>
      </c>
      <c r="N173" s="11">
        <v>35.550175741315051</v>
      </c>
      <c r="O173" s="10">
        <v>48.818399538407519</v>
      </c>
      <c r="P173" s="10"/>
      <c r="Q173" s="11"/>
      <c r="R173" s="11">
        <v>17.375201198984563</v>
      </c>
      <c r="S173" s="10">
        <v>17.274805516584269</v>
      </c>
      <c r="T173" s="11">
        <v>212.2230580114435</v>
      </c>
      <c r="U173" s="10"/>
      <c r="V173" s="10"/>
      <c r="W173" s="10"/>
      <c r="X173" s="10" t="s">
        <v>114</v>
      </c>
      <c r="Y173" s="11">
        <v>371.54777951055735</v>
      </c>
      <c r="Z173" s="10"/>
      <c r="AA173" s="10"/>
      <c r="AB173" s="10"/>
      <c r="AC173" s="10"/>
      <c r="AD173" s="10"/>
      <c r="AE173" s="10"/>
      <c r="AF173" s="10"/>
      <c r="AG173" s="11">
        <v>21.121154958702704</v>
      </c>
      <c r="AH173" s="11" t="s">
        <v>114</v>
      </c>
      <c r="AI173" s="11" t="s">
        <v>114</v>
      </c>
      <c r="AJ173" s="11" t="s">
        <v>114</v>
      </c>
      <c r="AK173" s="11" t="s">
        <v>114</v>
      </c>
      <c r="AL173" s="11" t="s">
        <v>114</v>
      </c>
      <c r="AM173" s="11" t="s">
        <v>114</v>
      </c>
      <c r="AN173" s="11" t="s">
        <v>114</v>
      </c>
      <c r="AO173" s="11" t="s">
        <v>114</v>
      </c>
      <c r="AP173" s="11" t="s">
        <v>114</v>
      </c>
      <c r="AQ173" s="11" t="s">
        <v>114</v>
      </c>
      <c r="AR173" s="11" t="s">
        <v>114</v>
      </c>
      <c r="AS173" s="11" t="s">
        <v>114</v>
      </c>
      <c r="AT173" s="11" t="s">
        <v>114</v>
      </c>
      <c r="AU173" s="11" t="s">
        <v>114</v>
      </c>
      <c r="AV173" s="10"/>
      <c r="AW173" s="10"/>
      <c r="AX173" s="10"/>
      <c r="AY173" s="10"/>
      <c r="AZ173" s="10">
        <v>21.264302618332934</v>
      </c>
      <c r="BA173" s="10">
        <v>19.231264035833675</v>
      </c>
      <c r="BB173" s="11">
        <v>20.030909912457908</v>
      </c>
      <c r="BC173" s="11">
        <v>0.10394932734346547</v>
      </c>
      <c r="BD173" s="11">
        <v>9.2188948210174107E-2</v>
      </c>
    </row>
    <row r="174" spans="1:56" x14ac:dyDescent="0.3">
      <c r="A174" s="1" t="s">
        <v>285</v>
      </c>
      <c r="B174" s="1" t="s">
        <v>60</v>
      </c>
      <c r="C174" s="10">
        <v>30494.181842015132</v>
      </c>
      <c r="D174" s="11">
        <v>4394.4555026444714</v>
      </c>
      <c r="E174" s="10">
        <v>128.91246516843256</v>
      </c>
      <c r="F174" s="10">
        <v>212990.80573704973</v>
      </c>
      <c r="G174" s="10">
        <v>420.18197615351704</v>
      </c>
      <c r="H174" s="10">
        <v>494622.42534494243</v>
      </c>
      <c r="I174" s="11">
        <v>478508.74756379618</v>
      </c>
      <c r="J174" s="10">
        <v>14.852842861735668</v>
      </c>
      <c r="K174" s="11">
        <v>5.7111244048920238</v>
      </c>
      <c r="L174" s="11">
        <v>5.1000533827344734</v>
      </c>
      <c r="M174" s="11">
        <v>88.427522504427785</v>
      </c>
      <c r="N174" s="11">
        <v>522.32018077051328</v>
      </c>
      <c r="O174" s="10">
        <v>559.90947715814968</v>
      </c>
      <c r="P174" s="10">
        <v>0.67780121699948093</v>
      </c>
      <c r="Q174" s="11">
        <v>12.224062337211075</v>
      </c>
      <c r="R174" s="11">
        <v>108.5426919473326</v>
      </c>
      <c r="S174" s="10">
        <v>108.34492411024709</v>
      </c>
      <c r="T174" s="11">
        <v>353.02708871456036</v>
      </c>
      <c r="U174" s="10">
        <v>326.40224414083326</v>
      </c>
      <c r="V174" s="10">
        <v>3.2442197134094846</v>
      </c>
      <c r="W174" s="10" t="s">
        <v>114</v>
      </c>
      <c r="X174" s="10">
        <v>0.43741220658001151</v>
      </c>
      <c r="Y174" s="11">
        <v>1101.8942677121449</v>
      </c>
      <c r="Z174" s="10">
        <v>4.9697926412805113</v>
      </c>
      <c r="AA174" s="10" t="s">
        <v>114</v>
      </c>
      <c r="AB174" s="10" t="s">
        <v>114</v>
      </c>
      <c r="AC174" s="10">
        <v>238.88716110230024</v>
      </c>
      <c r="AD174" s="10">
        <v>12.867459162171135</v>
      </c>
      <c r="AE174" s="10">
        <v>0.78518339451694386</v>
      </c>
      <c r="AF174" s="10">
        <v>6.4413080941162952E-3</v>
      </c>
      <c r="AG174" s="11">
        <v>32.651552719825631</v>
      </c>
      <c r="AH174" s="11">
        <v>0.2217146634083243</v>
      </c>
      <c r="AI174" s="11">
        <v>0.41027604755350655</v>
      </c>
      <c r="AJ174" s="11">
        <v>4.0385145582137766E-2</v>
      </c>
      <c r="AK174" s="11">
        <v>0.18444353112946901</v>
      </c>
      <c r="AL174" s="11">
        <v>3.7571690123975356E-2</v>
      </c>
      <c r="AM174" s="11">
        <v>9.7458781012749462E-3</v>
      </c>
      <c r="AN174" s="11">
        <v>3.7037551563215469E-2</v>
      </c>
      <c r="AO174" s="11">
        <v>7.135577558769271E-3</v>
      </c>
      <c r="AP174" s="11">
        <v>3.2500365383786867E-2</v>
      </c>
      <c r="AQ174" s="11">
        <v>8.0171320434967042E-3</v>
      </c>
      <c r="AR174" s="11">
        <v>2.1457273750971631E-2</v>
      </c>
      <c r="AS174" s="11">
        <v>2.4622797644846682E-3</v>
      </c>
      <c r="AT174" s="11">
        <v>1.4267068719761132E-2</v>
      </c>
      <c r="AU174" s="11">
        <v>3.3135194303619926E-3</v>
      </c>
      <c r="AV174" s="10">
        <v>0.67115234226224629</v>
      </c>
      <c r="AW174" s="10" t="s">
        <v>114</v>
      </c>
      <c r="AX174" s="10" t="s">
        <v>114</v>
      </c>
      <c r="AY174" s="10" t="s">
        <v>114</v>
      </c>
      <c r="AZ174" s="10">
        <v>6.9540491163957814</v>
      </c>
      <c r="BA174" s="10">
        <v>6.2600371081519315</v>
      </c>
      <c r="BB174" s="11">
        <v>6.5239652907748065</v>
      </c>
      <c r="BC174" s="11">
        <v>0.1606830830760399</v>
      </c>
      <c r="BD174" s="11">
        <v>23.01353465286137</v>
      </c>
    </row>
    <row r="175" spans="1:56" x14ac:dyDescent="0.3">
      <c r="A175" t="s">
        <v>286</v>
      </c>
      <c r="B175" t="s">
        <v>60</v>
      </c>
      <c r="C175" s="10">
        <v>26753.768096459356</v>
      </c>
      <c r="D175" s="11">
        <v>3216.3544803126365</v>
      </c>
      <c r="E175" s="10">
        <v>59.566204301900228</v>
      </c>
      <c r="F175" s="10">
        <v>122547.16499658258</v>
      </c>
      <c r="G175" s="10">
        <v>335.95845993614438</v>
      </c>
      <c r="H175" s="10">
        <v>270676.19286366773</v>
      </c>
      <c r="I175" s="11">
        <v>260995.31927267599</v>
      </c>
      <c r="J175" s="10">
        <v>8.7365872910984912</v>
      </c>
      <c r="K175" s="11">
        <v>1.0260373154672975</v>
      </c>
      <c r="L175" s="11">
        <v>4.4421680089160134</v>
      </c>
      <c r="M175" s="11">
        <v>27.506876460935313</v>
      </c>
      <c r="N175" s="11">
        <v>175.4091206874968</v>
      </c>
      <c r="O175" s="10">
        <v>182.9796643097506</v>
      </c>
      <c r="P175" s="10">
        <v>0.89307140697024734</v>
      </c>
      <c r="Q175" s="11">
        <v>7.1397199494871186</v>
      </c>
      <c r="R175" s="11">
        <v>95.303769831352938</v>
      </c>
      <c r="S175" s="10">
        <v>94.858344951897209</v>
      </c>
      <c r="T175" s="11">
        <v>145.06914536804308</v>
      </c>
      <c r="U175" s="10">
        <v>136.58689370303503</v>
      </c>
      <c r="V175" s="10" t="s">
        <v>114</v>
      </c>
      <c r="W175" s="10" t="s">
        <v>114</v>
      </c>
      <c r="X175" s="10">
        <v>0.3659370023190322</v>
      </c>
      <c r="Y175" s="11">
        <v>420.21195109271702</v>
      </c>
      <c r="Z175" s="10">
        <v>1.2590092750818356</v>
      </c>
      <c r="AA175" s="10" t="s">
        <v>114</v>
      </c>
      <c r="AB175" s="10" t="s">
        <v>114</v>
      </c>
      <c r="AC175" s="10">
        <v>101.88522831333803</v>
      </c>
      <c r="AD175" s="10">
        <v>8.6114686428407374</v>
      </c>
      <c r="AE175" s="10">
        <v>0.16851941727424849</v>
      </c>
      <c r="AF175" s="10">
        <v>5.1994717476691165E-3</v>
      </c>
      <c r="AG175" s="11">
        <v>30.182262830971926</v>
      </c>
      <c r="AH175" s="11">
        <v>0.11471635538279572</v>
      </c>
      <c r="AI175" s="11">
        <v>0.23576098812785184</v>
      </c>
      <c r="AJ175" s="11">
        <v>2.1780158632298725E-2</v>
      </c>
      <c r="AK175" s="11">
        <v>0.11051061464201845</v>
      </c>
      <c r="AL175" s="11">
        <v>1.5686792343186692E-2</v>
      </c>
      <c r="AM175" s="11">
        <v>3.6580919561878529E-3</v>
      </c>
      <c r="AN175" s="11">
        <v>1.6376407581495587E-2</v>
      </c>
      <c r="AO175" s="11">
        <v>3.3260369869908385E-3</v>
      </c>
      <c r="AP175" s="11">
        <v>1.4552933434554376E-2</v>
      </c>
      <c r="AQ175" s="11" t="s">
        <v>114</v>
      </c>
      <c r="AR175" s="11" t="s">
        <v>114</v>
      </c>
      <c r="AS175" s="11" t="s">
        <v>114</v>
      </c>
      <c r="AT175" s="11">
        <v>9.4145720339908947E-3</v>
      </c>
      <c r="AU175" s="11">
        <v>1.9502510228188786E-3</v>
      </c>
      <c r="AV175" s="10">
        <v>0.18473453748713292</v>
      </c>
      <c r="AW175" s="10" t="s">
        <v>114</v>
      </c>
      <c r="AX175" s="10">
        <v>1.6657863629251034E-3</v>
      </c>
      <c r="AY175" s="10" t="s">
        <v>114</v>
      </c>
      <c r="AZ175" s="10">
        <v>1.2601549227996895</v>
      </c>
      <c r="BA175" s="10">
        <v>1.162498124284991</v>
      </c>
      <c r="BB175" s="11">
        <v>1.2005401660967068</v>
      </c>
      <c r="BC175" s="11">
        <v>5.2561698181857977E-2</v>
      </c>
      <c r="BD175" s="11">
        <v>0.61957857027471175</v>
      </c>
    </row>
    <row r="176" spans="1:56" x14ac:dyDescent="0.3">
      <c r="A176" t="s">
        <v>287</v>
      </c>
      <c r="B176" t="s">
        <v>60</v>
      </c>
      <c r="C176" s="10">
        <v>27319.921438232977</v>
      </c>
      <c r="D176" s="11">
        <v>2326.5179514888282</v>
      </c>
      <c r="E176" s="10">
        <v>87.003966819772586</v>
      </c>
      <c r="F176" s="10">
        <v>146488.80201433919</v>
      </c>
      <c r="G176" s="10">
        <v>344.55319308680959</v>
      </c>
      <c r="H176" s="10">
        <v>315768.7897006328</v>
      </c>
      <c r="I176" s="11">
        <v>304028.03482697014</v>
      </c>
      <c r="J176" s="10">
        <v>21.476994098489889</v>
      </c>
      <c r="K176" s="11">
        <v>0.37668843604428526</v>
      </c>
      <c r="L176" s="11">
        <v>3.236038466448528</v>
      </c>
      <c r="M176" s="11">
        <v>19.59378877764469</v>
      </c>
      <c r="N176" s="11">
        <v>329.56120674672769</v>
      </c>
      <c r="O176" s="10">
        <v>335.00256280149853</v>
      </c>
      <c r="P176" s="10">
        <v>7.9873369787556356</v>
      </c>
      <c r="Q176" s="11">
        <v>60.045081609093728</v>
      </c>
      <c r="R176" s="11">
        <v>301.73343113971737</v>
      </c>
      <c r="S176" s="10">
        <v>301.34209538168176</v>
      </c>
      <c r="T176" s="11">
        <v>584.18461554907185</v>
      </c>
      <c r="U176" s="10">
        <v>535.40932944090605</v>
      </c>
      <c r="V176" s="10">
        <v>0.45449659047938057</v>
      </c>
      <c r="W176" s="10" t="s">
        <v>114</v>
      </c>
      <c r="X176" s="10">
        <v>0.37441055956679059</v>
      </c>
      <c r="Y176" s="11">
        <v>124.55685635453662</v>
      </c>
      <c r="Z176" s="10">
        <v>1.3143038143417114</v>
      </c>
      <c r="AA176" s="10" t="s">
        <v>114</v>
      </c>
      <c r="AB176" s="10" t="s">
        <v>114</v>
      </c>
      <c r="AC176" s="10">
        <v>19.210919727221995</v>
      </c>
      <c r="AD176" s="10">
        <v>9.6677587924472448</v>
      </c>
      <c r="AE176" s="10">
        <v>0.18548152965070527</v>
      </c>
      <c r="AF176" s="10">
        <v>5.9658701374522317E-3</v>
      </c>
      <c r="AG176" s="11">
        <v>24.776614181173329</v>
      </c>
      <c r="AH176" s="11">
        <v>0.36155466290177463</v>
      </c>
      <c r="AI176" s="11">
        <v>0.74584322828071203</v>
      </c>
      <c r="AJ176" s="11">
        <v>8.1272550994310674E-2</v>
      </c>
      <c r="AK176" s="11">
        <v>0.33602251109565184</v>
      </c>
      <c r="AL176" s="11">
        <v>6.9598871046902197E-2</v>
      </c>
      <c r="AM176" s="11">
        <v>1.5186375925217327E-2</v>
      </c>
      <c r="AN176" s="11">
        <v>7.2994495819922553E-2</v>
      </c>
      <c r="AO176" s="11">
        <v>1.2213914767779228E-2</v>
      </c>
      <c r="AP176" s="11">
        <v>6.4332735670321703E-2</v>
      </c>
      <c r="AQ176" s="11">
        <v>1.1088220049634879E-2</v>
      </c>
      <c r="AR176" s="11">
        <v>2.7884288607063962E-2</v>
      </c>
      <c r="AS176" s="11">
        <v>5.0755300219677488E-3</v>
      </c>
      <c r="AT176" s="11">
        <v>2.9709303394268242E-2</v>
      </c>
      <c r="AU176" s="11">
        <v>4.3735034585957663E-3</v>
      </c>
      <c r="AV176" s="10">
        <v>0.13062030502495803</v>
      </c>
      <c r="AW176" s="10" t="s">
        <v>114</v>
      </c>
      <c r="AX176" s="10" t="s">
        <v>114</v>
      </c>
      <c r="AY176" s="10" t="s">
        <v>114</v>
      </c>
      <c r="AZ176" s="10">
        <v>3.9434417972579983</v>
      </c>
      <c r="BA176" s="10">
        <v>3.6513161703953667</v>
      </c>
      <c r="BB176" s="11">
        <v>3.7819740934521056</v>
      </c>
      <c r="BC176" s="11" t="s">
        <v>114</v>
      </c>
      <c r="BD176" s="11">
        <v>0.16774283495819134</v>
      </c>
    </row>
    <row r="177" spans="1:56" x14ac:dyDescent="0.3">
      <c r="A177" t="s">
        <v>288</v>
      </c>
      <c r="B177" t="s">
        <v>60</v>
      </c>
      <c r="C177" s="10">
        <v>32200.362654172004</v>
      </c>
      <c r="D177" s="11">
        <v>6560.0354458593374</v>
      </c>
      <c r="E177" s="10">
        <v>111.76531123347742</v>
      </c>
      <c r="F177" s="10">
        <v>262679.95782561845</v>
      </c>
      <c r="G177" s="10">
        <v>405.8899831699776</v>
      </c>
      <c r="H177" s="10">
        <v>598553.93098726985</v>
      </c>
      <c r="I177" s="11">
        <v>577138.27125895093</v>
      </c>
      <c r="J177" s="10">
        <v>7.3228195755633161</v>
      </c>
      <c r="K177" s="11">
        <v>1.3157014774758782</v>
      </c>
      <c r="L177" s="11">
        <v>2.6182412176286167</v>
      </c>
      <c r="M177" s="11">
        <v>32.624165255597639</v>
      </c>
      <c r="N177" s="11">
        <v>279.27421805017542</v>
      </c>
      <c r="O177" s="10">
        <v>299.11534260878483</v>
      </c>
      <c r="P177" s="10">
        <v>0.31037413527972491</v>
      </c>
      <c r="Q177" s="11">
        <v>6.1532593773555302</v>
      </c>
      <c r="R177" s="11">
        <v>105.5587646413873</v>
      </c>
      <c r="S177" s="10">
        <v>106.13441139266114</v>
      </c>
      <c r="T177" s="11">
        <v>249.69920415851223</v>
      </c>
      <c r="U177" s="10">
        <v>232.27275112337171</v>
      </c>
      <c r="V177" s="10">
        <v>0.97094734861866694</v>
      </c>
      <c r="W177" s="10" t="s">
        <v>114</v>
      </c>
      <c r="X177" s="10">
        <v>0.38219013211426489</v>
      </c>
      <c r="Y177" s="11">
        <v>349.41602674697242</v>
      </c>
      <c r="Z177" s="10">
        <v>1.616991724134561</v>
      </c>
      <c r="AA177" s="10" t="s">
        <v>114</v>
      </c>
      <c r="AB177" s="10" t="s">
        <v>114</v>
      </c>
      <c r="AC177" s="10">
        <v>20.101151166165625</v>
      </c>
      <c r="AD177" s="10">
        <v>12.179607027841874</v>
      </c>
      <c r="AE177" s="10">
        <v>0.19833531276427135</v>
      </c>
      <c r="AF177" s="10">
        <v>7.5192888061972702E-3</v>
      </c>
      <c r="AG177" s="11">
        <v>36.703678715985191</v>
      </c>
      <c r="AH177" s="11">
        <v>0.15903311093588671</v>
      </c>
      <c r="AI177" s="11">
        <v>0.34231957640533073</v>
      </c>
      <c r="AJ177" s="11">
        <v>3.654218532512795E-2</v>
      </c>
      <c r="AK177" s="11">
        <v>0.14805105321108067</v>
      </c>
      <c r="AL177" s="11">
        <v>3.9014044890511725E-2</v>
      </c>
      <c r="AM177" s="11">
        <v>7.9487527659316826E-3</v>
      </c>
      <c r="AN177" s="11">
        <v>2.8071756345145207E-2</v>
      </c>
      <c r="AO177" s="11">
        <v>3.3689184579138698E-3</v>
      </c>
      <c r="AP177" s="11">
        <v>2.2749763951514654E-2</v>
      </c>
      <c r="AQ177" s="11">
        <v>4.40595581592052E-3</v>
      </c>
      <c r="AR177" s="11">
        <v>1.33935153930756E-2</v>
      </c>
      <c r="AS177" s="11" t="s">
        <v>114</v>
      </c>
      <c r="AT177" s="11">
        <v>1.1208734328284758E-2</v>
      </c>
      <c r="AU177" s="11" t="s">
        <v>114</v>
      </c>
      <c r="AV177" s="10">
        <v>0.209166868239478</v>
      </c>
      <c r="AW177" s="10" t="s">
        <v>114</v>
      </c>
      <c r="AX177" s="10" t="s">
        <v>114</v>
      </c>
      <c r="AY177" s="10" t="s">
        <v>114</v>
      </c>
      <c r="AZ177" s="10">
        <v>1.5092137534651506</v>
      </c>
      <c r="BA177" s="10">
        <v>1.4035036738809548</v>
      </c>
      <c r="BB177" s="11">
        <v>1.4470074927982404</v>
      </c>
      <c r="BC177" s="11" t="s">
        <v>114</v>
      </c>
      <c r="BD177" s="11">
        <v>0.3709083517409687</v>
      </c>
    </row>
    <row r="178" spans="1:56" x14ac:dyDescent="0.3">
      <c r="A178" t="s">
        <v>289</v>
      </c>
      <c r="B178" t="s">
        <v>60</v>
      </c>
      <c r="C178" s="10">
        <v>31098.946809169178</v>
      </c>
      <c r="D178" s="11">
        <v>4179.1936885324412</v>
      </c>
      <c r="E178" s="10">
        <v>117.72263019526086</v>
      </c>
      <c r="F178" s="10">
        <v>208954.23576685492</v>
      </c>
      <c r="G178" s="10">
        <v>485.6282737040346</v>
      </c>
      <c r="H178" s="10">
        <v>472771.42306211125</v>
      </c>
      <c r="I178" s="11">
        <v>455605.34400273452</v>
      </c>
      <c r="J178" s="10">
        <v>62.386552808730748</v>
      </c>
      <c r="K178" s="11">
        <v>5.1139154549568753</v>
      </c>
      <c r="L178" s="11">
        <v>5.8374541746790358</v>
      </c>
      <c r="M178" s="11">
        <v>271.18205928810977</v>
      </c>
      <c r="N178" s="11">
        <v>680.6035525038011</v>
      </c>
      <c r="O178" s="10">
        <v>706.63314748547054</v>
      </c>
      <c r="P178" s="10">
        <v>1.5050872129235711</v>
      </c>
      <c r="Q178" s="11">
        <v>23.19619548647918</v>
      </c>
      <c r="R178" s="11">
        <v>111.47867255919036</v>
      </c>
      <c r="S178" s="10">
        <v>110.98854603143823</v>
      </c>
      <c r="T178" s="11">
        <v>307.74208547831927</v>
      </c>
      <c r="U178" s="10">
        <v>282.33335809790526</v>
      </c>
      <c r="V178" s="10">
        <v>5.3321054570963033</v>
      </c>
      <c r="W178" s="10" t="s">
        <v>114</v>
      </c>
      <c r="X178" s="10">
        <v>0.47010657513221726</v>
      </c>
      <c r="Y178" s="11">
        <v>552.36285741551114</v>
      </c>
      <c r="Z178" s="10">
        <v>2.6776635663087593</v>
      </c>
      <c r="AA178" s="10" t="s">
        <v>114</v>
      </c>
      <c r="AB178" s="10" t="s">
        <v>114</v>
      </c>
      <c r="AC178" s="10">
        <v>19.111318359371328</v>
      </c>
      <c r="AD178" s="10">
        <v>10.280088341157898</v>
      </c>
      <c r="AE178" s="10">
        <v>0.43806946801975788</v>
      </c>
      <c r="AF178" s="10">
        <v>7.0476275055528391E-3</v>
      </c>
      <c r="AG178" s="11">
        <v>43.83743192296491</v>
      </c>
      <c r="AH178" s="11">
        <v>0.48821647925772849</v>
      </c>
      <c r="AI178" s="11">
        <v>1.0039625711442488</v>
      </c>
      <c r="AJ178" s="11">
        <v>0.10785139861157361</v>
      </c>
      <c r="AK178" s="11">
        <v>0.46899318217208763</v>
      </c>
      <c r="AL178" s="11">
        <v>9.2248323124220336E-2</v>
      </c>
      <c r="AM178" s="11">
        <v>2.8183809576548827E-2</v>
      </c>
      <c r="AN178" s="11">
        <v>0.10928181455629317</v>
      </c>
      <c r="AO178" s="11">
        <v>1.8796734125764637E-2</v>
      </c>
      <c r="AP178" s="11">
        <v>0.11586788845319113</v>
      </c>
      <c r="AQ178" s="11">
        <v>2.2182896225146305E-2</v>
      </c>
      <c r="AR178" s="11">
        <v>7.1423693177403283E-2</v>
      </c>
      <c r="AS178" s="11">
        <v>9.2915141578611832E-3</v>
      </c>
      <c r="AT178" s="11">
        <v>5.6602118989140457E-2</v>
      </c>
      <c r="AU178" s="11">
        <v>8.3611418905360571E-3</v>
      </c>
      <c r="AV178" s="10">
        <v>0.22763198202963694</v>
      </c>
      <c r="AW178" s="10" t="s">
        <v>114</v>
      </c>
      <c r="AX178" s="10" t="s">
        <v>114</v>
      </c>
      <c r="AY178" s="10" t="s">
        <v>114</v>
      </c>
      <c r="AZ178" s="10">
        <v>4.4827752587525875</v>
      </c>
      <c r="BA178" s="10">
        <v>4.0389589999951063</v>
      </c>
      <c r="BB178" s="11">
        <v>4.2268307784086421</v>
      </c>
      <c r="BC178" s="11" t="s">
        <v>114</v>
      </c>
      <c r="BD178" s="11">
        <v>7.9292767595193911</v>
      </c>
    </row>
    <row r="179" spans="1:56" x14ac:dyDescent="0.3">
      <c r="A179" t="s">
        <v>290</v>
      </c>
      <c r="B179" t="s">
        <v>60</v>
      </c>
      <c r="C179" s="10">
        <v>45748.180294861209</v>
      </c>
      <c r="D179" s="11">
        <v>3095.4511432685099</v>
      </c>
      <c r="E179" s="10">
        <v>116.83104828991725</v>
      </c>
      <c r="F179" s="10">
        <v>153106.19233305723</v>
      </c>
      <c r="G179" s="10">
        <v>514.93590864584235</v>
      </c>
      <c r="H179" s="10">
        <v>326040.03221461165</v>
      </c>
      <c r="I179" s="11">
        <v>313089.1681455269</v>
      </c>
      <c r="J179" s="10">
        <v>95.982107714607011</v>
      </c>
      <c r="K179" s="11">
        <v>1.1544453625467084</v>
      </c>
      <c r="L179" s="11">
        <v>4.8150332542123513</v>
      </c>
      <c r="M179" s="11">
        <v>22.544813859668373</v>
      </c>
      <c r="N179" s="11">
        <v>259.58729639884302</v>
      </c>
      <c r="O179" s="10">
        <v>274.95860042378104</v>
      </c>
      <c r="P179" s="10">
        <v>0.61926250337869704</v>
      </c>
      <c r="Q179" s="11">
        <v>90.009021574151816</v>
      </c>
      <c r="R179" s="11">
        <v>175.46014807196678</v>
      </c>
      <c r="S179" s="10">
        <v>176.239588433183</v>
      </c>
      <c r="T179" s="11">
        <v>482.86295536168478</v>
      </c>
      <c r="U179" s="10">
        <v>449.45864637696479</v>
      </c>
      <c r="V179" s="10">
        <v>1.1117346319801475</v>
      </c>
      <c r="W179" s="10" t="s">
        <v>114</v>
      </c>
      <c r="X179" s="10">
        <v>0.67325931659408567</v>
      </c>
      <c r="Y179" s="11">
        <v>215.75493050639676</v>
      </c>
      <c r="Z179" s="10">
        <v>2.5564576056299915</v>
      </c>
      <c r="AA179" s="10" t="s">
        <v>114</v>
      </c>
      <c r="AB179" s="10" t="s">
        <v>114</v>
      </c>
      <c r="AC179" s="10">
        <v>45.006128126400966</v>
      </c>
      <c r="AD179" s="10">
        <v>16.037399929329073</v>
      </c>
      <c r="AE179" s="10">
        <v>0.34642511026432932</v>
      </c>
      <c r="AF179" s="10">
        <v>9.9565123534861542E-3</v>
      </c>
      <c r="AG179" s="11">
        <v>74.854806525386223</v>
      </c>
      <c r="AH179" s="11">
        <v>1.6061746930784628</v>
      </c>
      <c r="AI179" s="11">
        <v>3.2257952803067229</v>
      </c>
      <c r="AJ179" s="11">
        <v>0.32725095070812782</v>
      </c>
      <c r="AK179" s="11">
        <v>1.3774245380767738</v>
      </c>
      <c r="AL179" s="11">
        <v>0.29263711613522658</v>
      </c>
      <c r="AM179" s="11">
        <v>6.9617903815172952E-2</v>
      </c>
      <c r="AN179" s="11">
        <v>0.32089633185021998</v>
      </c>
      <c r="AO179" s="11">
        <v>4.9480108423245885E-2</v>
      </c>
      <c r="AP179" s="11">
        <v>0.29812763204388099</v>
      </c>
      <c r="AQ179" s="11">
        <v>6.0477019874887898E-2</v>
      </c>
      <c r="AR179" s="11">
        <v>0.18859252621623235</v>
      </c>
      <c r="AS179" s="11">
        <v>2.4699544040252142E-2</v>
      </c>
      <c r="AT179" s="11">
        <v>0.12830329916041722</v>
      </c>
      <c r="AU179" s="11">
        <v>1.9162428053442735E-2</v>
      </c>
      <c r="AV179" s="10">
        <v>0.18102260284755436</v>
      </c>
      <c r="AW179" s="10" t="s">
        <v>114</v>
      </c>
      <c r="AX179" s="10" t="s">
        <v>114</v>
      </c>
      <c r="AY179" s="10" t="s">
        <v>114</v>
      </c>
      <c r="AZ179" s="10">
        <v>6.8423752754662033</v>
      </c>
      <c r="BA179" s="10">
        <v>6.2182126744156667</v>
      </c>
      <c r="BB179" s="11">
        <v>6.4529452050399474</v>
      </c>
      <c r="BC179" s="11" t="s">
        <v>114</v>
      </c>
      <c r="BD179" s="11">
        <v>1.8005238660054341</v>
      </c>
    </row>
    <row r="180" spans="1:56" x14ac:dyDescent="0.3">
      <c r="A180" t="s">
        <v>291</v>
      </c>
      <c r="B180" t="s">
        <v>60</v>
      </c>
      <c r="C180" s="10">
        <v>27127.829906707517</v>
      </c>
      <c r="D180" s="11">
        <v>2665.6548010797273</v>
      </c>
      <c r="E180" s="10">
        <v>149.20814367071475</v>
      </c>
      <c r="F180" s="10">
        <v>146629.28681463719</v>
      </c>
      <c r="G180" s="10">
        <v>346.41202292513128</v>
      </c>
      <c r="H180" s="10">
        <v>324589.86864270171</v>
      </c>
      <c r="I180" s="11">
        <v>311012.02622952143</v>
      </c>
      <c r="J180" s="10">
        <v>303.32335832163523</v>
      </c>
      <c r="K180" s="11">
        <v>1.4222600948934807</v>
      </c>
      <c r="L180" s="11">
        <v>8.7517825163202492</v>
      </c>
      <c r="M180" s="11">
        <v>10.632513537702518</v>
      </c>
      <c r="N180" s="11">
        <v>616.58519163488199</v>
      </c>
      <c r="O180" s="10">
        <v>635.53330805571363</v>
      </c>
      <c r="P180" s="10">
        <v>1.2942177552879859</v>
      </c>
      <c r="Q180" s="11">
        <v>9.3469489205946488</v>
      </c>
      <c r="R180" s="11">
        <v>102.30585067812953</v>
      </c>
      <c r="S180" s="10">
        <v>102.05181588449108</v>
      </c>
      <c r="T180" s="11">
        <v>223.09540635917887</v>
      </c>
      <c r="U180" s="10">
        <v>207.9998010827625</v>
      </c>
      <c r="V180" s="10">
        <v>0.86703372275200852</v>
      </c>
      <c r="W180" s="10" t="s">
        <v>114</v>
      </c>
      <c r="X180" s="10">
        <v>0.53163453170114083</v>
      </c>
      <c r="Y180" s="11">
        <v>208.24454008480785</v>
      </c>
      <c r="Z180" s="10">
        <v>1.8374151762777169</v>
      </c>
      <c r="AA180" s="10" t="s">
        <v>114</v>
      </c>
      <c r="AB180" s="10" t="s">
        <v>114</v>
      </c>
      <c r="AC180" s="10">
        <v>16.089174304113012</v>
      </c>
      <c r="AD180" s="10">
        <v>9.2309218607652959</v>
      </c>
      <c r="AE180" s="10">
        <v>0.19262744692786352</v>
      </c>
      <c r="AF180" s="10">
        <v>6.7467885357752411E-3</v>
      </c>
      <c r="AG180" s="11">
        <v>44.14842370150577</v>
      </c>
      <c r="AH180" s="11">
        <v>2.9017036547221342</v>
      </c>
      <c r="AI180" s="11">
        <v>2.5482414740913568</v>
      </c>
      <c r="AJ180" s="11">
        <v>0.79818396064824548</v>
      </c>
      <c r="AK180" s="11">
        <v>3.9370081942479329</v>
      </c>
      <c r="AL180" s="11">
        <v>0.94914253169801943</v>
      </c>
      <c r="AM180" s="11">
        <v>0.25819079494317648</v>
      </c>
      <c r="AN180" s="11">
        <v>1.1464454829596984</v>
      </c>
      <c r="AO180" s="11">
        <v>0.16017915345576489</v>
      </c>
      <c r="AP180" s="11">
        <v>0.88563266629539117</v>
      </c>
      <c r="AQ180" s="11">
        <v>0.17508881866020848</v>
      </c>
      <c r="AR180" s="11">
        <v>0.4648359342175698</v>
      </c>
      <c r="AS180" s="11">
        <v>5.5696603860558309E-2</v>
      </c>
      <c r="AT180" s="11">
        <v>0.32655010100238913</v>
      </c>
      <c r="AU180" s="11">
        <v>4.488902285023319E-2</v>
      </c>
      <c r="AV180" s="10">
        <v>0.16202842471706075</v>
      </c>
      <c r="AW180" s="10" t="s">
        <v>114</v>
      </c>
      <c r="AX180" s="10" t="s">
        <v>114</v>
      </c>
      <c r="AY180" s="10" t="s">
        <v>114</v>
      </c>
      <c r="AZ180" s="10">
        <v>2.2089248311500183</v>
      </c>
      <c r="BA180" s="10">
        <v>2.0486734682712506</v>
      </c>
      <c r="BB180" s="11">
        <v>2.1193761288852482</v>
      </c>
      <c r="BC180" s="11">
        <v>6.0330853691793827E-2</v>
      </c>
      <c r="BD180" s="11">
        <v>0.5643197099206031</v>
      </c>
    </row>
    <row r="181" spans="1:56" x14ac:dyDescent="0.3">
      <c r="A181" t="s">
        <v>292</v>
      </c>
      <c r="B181" t="s">
        <v>60</v>
      </c>
      <c r="C181" s="10">
        <v>25634.816719016311</v>
      </c>
      <c r="D181" s="11">
        <v>2824.5505516738849</v>
      </c>
      <c r="E181" s="10">
        <v>80.896354226980023</v>
      </c>
      <c r="F181" s="10">
        <v>123856.62467393592</v>
      </c>
      <c r="G181" s="10">
        <v>333.55967842282882</v>
      </c>
      <c r="H181" s="10">
        <v>287569.00989067444</v>
      </c>
      <c r="I181" s="11">
        <v>279121.081319522</v>
      </c>
      <c r="J181" s="10">
        <v>73.686984713017026</v>
      </c>
      <c r="K181" s="11">
        <v>8.221556721357139</v>
      </c>
      <c r="L181" s="11">
        <v>6.3394826273682172</v>
      </c>
      <c r="M181" s="11">
        <v>271.77337089855655</v>
      </c>
      <c r="N181" s="11">
        <v>1011.4411836890135</v>
      </c>
      <c r="O181" s="10">
        <v>1010.228970057027</v>
      </c>
      <c r="P181" s="10">
        <v>3.3468281956142394</v>
      </c>
      <c r="Q181" s="11">
        <v>12.082612400015744</v>
      </c>
      <c r="R181" s="11">
        <v>103.81697969549677</v>
      </c>
      <c r="S181" s="10">
        <v>104.05104597889611</v>
      </c>
      <c r="T181" s="11">
        <v>153.0642894472511</v>
      </c>
      <c r="U181" s="10">
        <v>145.41411527229093</v>
      </c>
      <c r="V181" s="10">
        <v>6.3574771623564219</v>
      </c>
      <c r="W181" s="10" t="s">
        <v>114</v>
      </c>
      <c r="X181" s="10">
        <v>0.28307959515067854</v>
      </c>
      <c r="Y181" s="11">
        <v>718.74717681680158</v>
      </c>
      <c r="Z181" s="10">
        <v>2.4833290439793401</v>
      </c>
      <c r="AA181" s="10" t="s">
        <v>114</v>
      </c>
      <c r="AB181" s="10" t="s">
        <v>114</v>
      </c>
      <c r="AC181" s="10">
        <v>16.616855013187127</v>
      </c>
      <c r="AD181" s="10">
        <v>8.6574623357464695</v>
      </c>
      <c r="AE181" s="10">
        <v>0.49848158780191176</v>
      </c>
      <c r="AF181" s="10">
        <v>8.3021633639768257E-3</v>
      </c>
      <c r="AG181" s="11">
        <v>48.859531560565514</v>
      </c>
      <c r="AH181" s="11">
        <v>0.94658389667193144</v>
      </c>
      <c r="AI181" s="11">
        <v>2.1586866023900448</v>
      </c>
      <c r="AJ181" s="11">
        <v>0.19129817892769305</v>
      </c>
      <c r="AK181" s="11">
        <v>0.88108999655585962</v>
      </c>
      <c r="AL181" s="11">
        <v>0.18028218918620822</v>
      </c>
      <c r="AM181" s="11">
        <v>4.9214505937413722E-2</v>
      </c>
      <c r="AN181" s="11">
        <v>0.21858882960156312</v>
      </c>
      <c r="AO181" s="11">
        <v>3.2539630889692861E-2</v>
      </c>
      <c r="AP181" s="11">
        <v>0.21461200465089986</v>
      </c>
      <c r="AQ181" s="11">
        <v>4.4008223908717226E-2</v>
      </c>
      <c r="AR181" s="11">
        <v>0.1260115685683455</v>
      </c>
      <c r="AS181" s="11">
        <v>1.8267870142279277E-2</v>
      </c>
      <c r="AT181" s="11">
        <v>0.101371140355156</v>
      </c>
      <c r="AU181" s="11">
        <v>1.2827822518848385E-2</v>
      </c>
      <c r="AV181" s="10">
        <v>0.31674281135653842</v>
      </c>
      <c r="AW181" s="10" t="s">
        <v>114</v>
      </c>
      <c r="AX181" s="10">
        <v>1.4637095472897444E-3</v>
      </c>
      <c r="AY181" s="10" t="s">
        <v>114</v>
      </c>
      <c r="AZ181" s="10">
        <v>4.1295885904845484</v>
      </c>
      <c r="BA181" s="10">
        <v>3.7940760653506107</v>
      </c>
      <c r="BB181" s="11">
        <v>3.9197513888405102</v>
      </c>
      <c r="BC181" s="11">
        <v>6.2894953817456745E-2</v>
      </c>
      <c r="BD181" s="11">
        <v>12.89120976305516</v>
      </c>
    </row>
    <row r="182" spans="1:56" x14ac:dyDescent="0.3">
      <c r="A182" t="s">
        <v>293</v>
      </c>
      <c r="B182" t="s">
        <v>60</v>
      </c>
      <c r="C182" s="10">
        <v>29189.355761959741</v>
      </c>
      <c r="D182" s="11">
        <v>4190.3299306000836</v>
      </c>
      <c r="E182" s="10">
        <v>87.375073165326853</v>
      </c>
      <c r="F182" s="10">
        <v>185676.00113858926</v>
      </c>
      <c r="G182" s="10">
        <v>429.4168810832378</v>
      </c>
      <c r="H182" s="10">
        <v>419722.5424965882</v>
      </c>
      <c r="I182" s="11">
        <v>403312.81855163345</v>
      </c>
      <c r="J182" s="10">
        <v>41.40525002608036</v>
      </c>
      <c r="K182" s="11">
        <v>1.7844982158510652</v>
      </c>
      <c r="L182" s="11">
        <v>9.1267315052416222</v>
      </c>
      <c r="M182" s="11">
        <v>99.432810997737562</v>
      </c>
      <c r="N182" s="11">
        <v>375.75705632439877</v>
      </c>
      <c r="O182" s="10">
        <v>381.4884646600525</v>
      </c>
      <c r="P182" s="10">
        <v>1.4575063050723285</v>
      </c>
      <c r="Q182" s="11">
        <v>11.723350528092883</v>
      </c>
      <c r="R182" s="11">
        <v>96.913267237192798</v>
      </c>
      <c r="S182" s="10">
        <v>97.477246394021421</v>
      </c>
      <c r="T182" s="11">
        <v>181.51977163800262</v>
      </c>
      <c r="U182" s="10">
        <v>167.29679258482957</v>
      </c>
      <c r="V182" s="10">
        <v>1.8107626470879017</v>
      </c>
      <c r="W182" s="10" t="s">
        <v>114</v>
      </c>
      <c r="X182" s="10">
        <v>0.4480786921283833</v>
      </c>
      <c r="Y182" s="11">
        <v>314.34631257823145</v>
      </c>
      <c r="Z182" s="10">
        <v>1.6381505371484395</v>
      </c>
      <c r="AA182" s="10" t="s">
        <v>114</v>
      </c>
      <c r="AB182" s="10" t="s">
        <v>114</v>
      </c>
      <c r="AC182" s="10">
        <v>15.956620589171049</v>
      </c>
      <c r="AD182" s="10">
        <v>9.0248637370511204</v>
      </c>
      <c r="AE182" s="10">
        <v>0.27404652618603448</v>
      </c>
      <c r="AF182" s="10">
        <v>4.4264642447589698E-3</v>
      </c>
      <c r="AG182" s="11">
        <v>35.757236518603762</v>
      </c>
      <c r="AH182" s="11">
        <v>0.44481178102941726</v>
      </c>
      <c r="AI182" s="11">
        <v>0.92180831383562811</v>
      </c>
      <c r="AJ182" s="11">
        <v>9.6518534639590897E-2</v>
      </c>
      <c r="AK182" s="11">
        <v>0.41827098023223735</v>
      </c>
      <c r="AL182" s="11">
        <v>7.244456245613462E-2</v>
      </c>
      <c r="AM182" s="11">
        <v>1.7533699990425727E-2</v>
      </c>
      <c r="AN182" s="11">
        <v>8.5193661124881442E-2</v>
      </c>
      <c r="AO182" s="11">
        <v>1.2174574039826103E-2</v>
      </c>
      <c r="AP182" s="11">
        <v>7.4210712409497948E-2</v>
      </c>
      <c r="AQ182" s="11">
        <v>1.5247051759432199E-2</v>
      </c>
      <c r="AR182" s="11">
        <v>4.6421567146161892E-2</v>
      </c>
      <c r="AS182" s="11">
        <v>5.322492133430945E-3</v>
      </c>
      <c r="AT182" s="11">
        <v>4.294586552895286E-2</v>
      </c>
      <c r="AU182" s="11">
        <v>5.9987459577341756E-3</v>
      </c>
      <c r="AV182" s="10">
        <v>0.13698576311356317</v>
      </c>
      <c r="AW182" s="10" t="s">
        <v>114</v>
      </c>
      <c r="AX182" s="10" t="s">
        <v>114</v>
      </c>
      <c r="AY182" s="10" t="s">
        <v>114</v>
      </c>
      <c r="AZ182" s="10">
        <v>2.281450939729841</v>
      </c>
      <c r="BA182" s="10">
        <v>2.0670532099029213</v>
      </c>
      <c r="BB182" s="11">
        <v>2.1634046476535489</v>
      </c>
      <c r="BC182" s="11" t="s">
        <v>114</v>
      </c>
      <c r="BD182" s="11">
        <v>2.1719129752924089</v>
      </c>
    </row>
    <row r="183" spans="1:56" x14ac:dyDescent="0.3">
      <c r="A183" t="s">
        <v>294</v>
      </c>
      <c r="B183" t="s">
        <v>60</v>
      </c>
      <c r="C183" s="10">
        <v>26421.428000855365</v>
      </c>
      <c r="D183" s="11">
        <v>2901.3283501922588</v>
      </c>
      <c r="E183" s="10">
        <v>77.735400147974545</v>
      </c>
      <c r="F183" s="10">
        <v>148873.73889763109</v>
      </c>
      <c r="G183" s="10">
        <v>391.48746862766899</v>
      </c>
      <c r="H183" s="10">
        <v>324240.2057378068</v>
      </c>
      <c r="I183" s="11">
        <v>311808.24682101922</v>
      </c>
      <c r="J183" s="10">
        <v>75.804456723526314</v>
      </c>
      <c r="K183" s="11">
        <v>0.77700320671398504</v>
      </c>
      <c r="L183" s="11">
        <v>1.557446911001336</v>
      </c>
      <c r="M183" s="11">
        <v>16.098367552921722</v>
      </c>
      <c r="N183" s="11">
        <v>143.4676681313052</v>
      </c>
      <c r="O183" s="10">
        <v>147.93500321516782</v>
      </c>
      <c r="P183" s="10">
        <v>0.19510880937833938</v>
      </c>
      <c r="Q183" s="11">
        <v>12.378554367178788</v>
      </c>
      <c r="R183" s="11">
        <v>90.822608288117408</v>
      </c>
      <c r="S183" s="10">
        <v>90.590453961355934</v>
      </c>
      <c r="T183" s="11">
        <v>275.54499264220084</v>
      </c>
      <c r="U183" s="10">
        <v>252.6534715316167</v>
      </c>
      <c r="V183" s="10">
        <v>0.45059420196385153</v>
      </c>
      <c r="W183" s="10" t="s">
        <v>114</v>
      </c>
      <c r="X183" s="10">
        <v>0.35318301072947345</v>
      </c>
      <c r="Y183" s="11">
        <v>174.38442627953091</v>
      </c>
      <c r="Z183" s="10">
        <v>1.2999613325291108</v>
      </c>
      <c r="AA183" s="10" t="s">
        <v>114</v>
      </c>
      <c r="AB183" s="10" t="s">
        <v>114</v>
      </c>
      <c r="AC183" s="10">
        <v>11.91068060447313</v>
      </c>
      <c r="AD183" s="10">
        <v>8.4163548017392831</v>
      </c>
      <c r="AE183" s="10">
        <v>0.1556677516239417</v>
      </c>
      <c r="AF183" s="10">
        <v>5.1741305944807241E-3</v>
      </c>
      <c r="AG183" s="11">
        <v>25.200043873630378</v>
      </c>
      <c r="AH183" s="11">
        <v>0.66981922061837829</v>
      </c>
      <c r="AI183" s="11">
        <v>1.4246865560835202</v>
      </c>
      <c r="AJ183" s="11">
        <v>0.15073618311301229</v>
      </c>
      <c r="AK183" s="11">
        <v>0.65018841780186065</v>
      </c>
      <c r="AL183" s="11">
        <v>0.16745638224919401</v>
      </c>
      <c r="AM183" s="11">
        <v>3.6389002768044701E-2</v>
      </c>
      <c r="AN183" s="11">
        <v>0.14349644217409788</v>
      </c>
      <c r="AO183" s="11">
        <v>2.2002712561940949E-2</v>
      </c>
      <c r="AP183" s="11">
        <v>0.12633439617272083</v>
      </c>
      <c r="AQ183" s="11">
        <v>2.5950654289796989E-2</v>
      </c>
      <c r="AR183" s="11">
        <v>7.2006228022350183E-2</v>
      </c>
      <c r="AS183" s="11">
        <v>9.9701618426059364E-3</v>
      </c>
      <c r="AT183" s="11">
        <v>5.0821396248570502E-2</v>
      </c>
      <c r="AU183" s="11">
        <v>1.084542285528659E-2</v>
      </c>
      <c r="AV183" s="10">
        <v>7.4147576900265841E-2</v>
      </c>
      <c r="AW183" s="10" t="s">
        <v>114</v>
      </c>
      <c r="AX183" s="10" t="s">
        <v>114</v>
      </c>
      <c r="AY183" s="10" t="s">
        <v>114</v>
      </c>
      <c r="AZ183" s="10">
        <v>3.9793147013825165</v>
      </c>
      <c r="BA183" s="10">
        <v>3.5812070795357935</v>
      </c>
      <c r="BB183" s="11">
        <v>3.7626038010401786</v>
      </c>
      <c r="BC183" s="11" t="s">
        <v>114</v>
      </c>
      <c r="BD183" s="11">
        <v>0.31522204920801689</v>
      </c>
    </row>
    <row r="184" spans="1:56" x14ac:dyDescent="0.3">
      <c r="A184" t="s">
        <v>295</v>
      </c>
      <c r="B184" t="s">
        <v>60</v>
      </c>
      <c r="C184" s="10">
        <v>26713.129535714961</v>
      </c>
      <c r="D184" s="11">
        <v>2375.7871619538532</v>
      </c>
      <c r="E184" s="10">
        <v>95.916708847057336</v>
      </c>
      <c r="F184" s="10">
        <v>118684.94348531692</v>
      </c>
      <c r="G184" s="10">
        <v>372.9089218240382</v>
      </c>
      <c r="H184" s="10">
        <v>262046.86005016055</v>
      </c>
      <c r="I184" s="11">
        <v>249074.01134682563</v>
      </c>
      <c r="J184" s="10">
        <v>129.89656862522045</v>
      </c>
      <c r="K184" s="11">
        <v>1.7510903104580824</v>
      </c>
      <c r="L184" s="11">
        <v>2.0414599569553604</v>
      </c>
      <c r="M184" s="11">
        <v>44.746013311126489</v>
      </c>
      <c r="N184" s="11">
        <v>159.25235333661678</v>
      </c>
      <c r="O184" s="10">
        <v>164.65511258076393</v>
      </c>
      <c r="P184" s="10">
        <v>0.79785649108628143</v>
      </c>
      <c r="Q184" s="11">
        <v>20.376996390371104</v>
      </c>
      <c r="R184" s="11">
        <v>614.53565318702226</v>
      </c>
      <c r="S184" s="10">
        <v>617.03406365083799</v>
      </c>
      <c r="T184" s="11">
        <v>236.72198215947864</v>
      </c>
      <c r="U184" s="10">
        <v>218.96703589213243</v>
      </c>
      <c r="V184" s="10">
        <v>0.80826310596603446</v>
      </c>
      <c r="W184" s="10" t="s">
        <v>114</v>
      </c>
      <c r="X184" s="10">
        <v>0.43443846222391558</v>
      </c>
      <c r="Y184" s="11">
        <v>212.92608467471038</v>
      </c>
      <c r="Z184" s="10">
        <v>1.1072846051279377</v>
      </c>
      <c r="AA184" s="10" t="s">
        <v>114</v>
      </c>
      <c r="AB184" s="10" t="s">
        <v>114</v>
      </c>
      <c r="AC184" s="10">
        <v>17.461949386507516</v>
      </c>
      <c r="AD184" s="10">
        <v>9.5706790691683068</v>
      </c>
      <c r="AE184" s="10">
        <v>0.25986422690965311</v>
      </c>
      <c r="AF184" s="10">
        <v>7.1716604022957009E-3</v>
      </c>
      <c r="AG184" s="11">
        <v>42.359545985878931</v>
      </c>
      <c r="AH184" s="11">
        <v>0.54473224617029281</v>
      </c>
      <c r="AI184" s="11">
        <v>1.1472903361649478</v>
      </c>
      <c r="AJ184" s="11">
        <v>0.12383682239463729</v>
      </c>
      <c r="AK184" s="11">
        <v>0.53752656707937119</v>
      </c>
      <c r="AL184" s="11">
        <v>0.10989207726284007</v>
      </c>
      <c r="AM184" s="11">
        <v>2.7589554374653432E-2</v>
      </c>
      <c r="AN184" s="11">
        <v>0.11138845762089192</v>
      </c>
      <c r="AO184" s="11">
        <v>1.6568717520794224E-2</v>
      </c>
      <c r="AP184" s="11">
        <v>9.2413610842907015E-2</v>
      </c>
      <c r="AQ184" s="11">
        <v>2.1622088213566315E-2</v>
      </c>
      <c r="AR184" s="11">
        <v>5.7974451780324218E-2</v>
      </c>
      <c r="AS184" s="11">
        <v>6.068375207809268E-3</v>
      </c>
      <c r="AT184" s="11">
        <v>4.4161465503011671E-2</v>
      </c>
      <c r="AU184" s="11">
        <v>5.9632140609153133E-3</v>
      </c>
      <c r="AV184" s="10">
        <v>9.519480878159281E-2</v>
      </c>
      <c r="AW184" s="10" t="s">
        <v>114</v>
      </c>
      <c r="AX184" s="10" t="s">
        <v>114</v>
      </c>
      <c r="AY184" s="10" t="s">
        <v>114</v>
      </c>
      <c r="AZ184" s="10">
        <v>2.9481728195999946</v>
      </c>
      <c r="BA184" s="10">
        <v>2.6757133469002268</v>
      </c>
      <c r="BB184" s="11">
        <v>2.7948899334412731</v>
      </c>
      <c r="BC184" s="11" t="s">
        <v>114</v>
      </c>
      <c r="BD184" s="11">
        <v>1.8357568150870689</v>
      </c>
    </row>
    <row r="185" spans="1:56" x14ac:dyDescent="0.3">
      <c r="A185" t="s">
        <v>296</v>
      </c>
      <c r="B185" t="s">
        <v>60</v>
      </c>
      <c r="C185" s="10">
        <v>25041.350685222209</v>
      </c>
      <c r="D185" s="11">
        <v>3040.9234860717856</v>
      </c>
      <c r="E185" s="10">
        <v>141.85755009826215</v>
      </c>
      <c r="F185" s="10">
        <v>204537.08290504821</v>
      </c>
      <c r="G185" s="10">
        <v>327.44485410604295</v>
      </c>
      <c r="H185" s="10">
        <v>466843.18133801559</v>
      </c>
      <c r="I185" s="11">
        <v>447162.8920315053</v>
      </c>
      <c r="J185" s="10">
        <v>103.44123409908264</v>
      </c>
      <c r="K185" s="11">
        <v>1.1374166998608157</v>
      </c>
      <c r="L185" s="11">
        <v>1.9949882188026207</v>
      </c>
      <c r="M185" s="11">
        <v>39.13363974870574</v>
      </c>
      <c r="N185" s="11">
        <v>302.10422594879753</v>
      </c>
      <c r="O185" s="10">
        <v>315.91968218458442</v>
      </c>
      <c r="P185" s="10">
        <v>0.39185376382223153</v>
      </c>
      <c r="Q185" s="11">
        <v>212.05231082729523</v>
      </c>
      <c r="R185" s="11">
        <v>89.252714524176653</v>
      </c>
      <c r="S185" s="10">
        <v>89.358718216694584</v>
      </c>
      <c r="T185" s="11">
        <v>697.37657936189203</v>
      </c>
      <c r="U185" s="10">
        <v>639.74239191595518</v>
      </c>
      <c r="V185" s="10">
        <v>1.4395200519093496</v>
      </c>
      <c r="W185" s="10" t="s">
        <v>114</v>
      </c>
      <c r="X185" s="10">
        <v>0.34256156325075782</v>
      </c>
      <c r="Y185" s="11">
        <v>277.57643254230481</v>
      </c>
      <c r="Z185" s="10">
        <v>1.5380209951729866</v>
      </c>
      <c r="AA185" s="10" t="s">
        <v>114</v>
      </c>
      <c r="AB185" s="10" t="s">
        <v>114</v>
      </c>
      <c r="AC185" s="10">
        <v>13.678779221726064</v>
      </c>
      <c r="AD185" s="10">
        <v>8.6150797065801683</v>
      </c>
      <c r="AE185" s="10">
        <v>0.2158333134973015</v>
      </c>
      <c r="AF185" s="10">
        <v>7.0285883641469189E-3</v>
      </c>
      <c r="AG185" s="11">
        <v>33.022719689826445</v>
      </c>
      <c r="AH185" s="11">
        <v>1.2615427065789857</v>
      </c>
      <c r="AI185" s="11">
        <v>2.6258849865879457</v>
      </c>
      <c r="AJ185" s="11">
        <v>0.29578006064165213</v>
      </c>
      <c r="AK185" s="11">
        <v>1.2550275505339417</v>
      </c>
      <c r="AL185" s="11">
        <v>0.26724355269453987</v>
      </c>
      <c r="AM185" s="11">
        <v>6.6595363445179856E-2</v>
      </c>
      <c r="AN185" s="11">
        <v>0.25579724461119635</v>
      </c>
      <c r="AO185" s="11">
        <v>4.2922901631302898E-2</v>
      </c>
      <c r="AP185" s="11">
        <v>0.23714642297015931</v>
      </c>
      <c r="AQ185" s="11">
        <v>4.8357905663660439E-2</v>
      </c>
      <c r="AR185" s="11">
        <v>0.12892472446932879</v>
      </c>
      <c r="AS185" s="11">
        <v>1.6093841900840667E-2</v>
      </c>
      <c r="AT185" s="11">
        <v>0.10290619400631321</v>
      </c>
      <c r="AU185" s="11">
        <v>1.2356272653927249E-2</v>
      </c>
      <c r="AV185" s="10">
        <v>8.8001842802789179E-2</v>
      </c>
      <c r="AW185" s="10" t="s">
        <v>114</v>
      </c>
      <c r="AX185" s="10" t="s">
        <v>114</v>
      </c>
      <c r="AY185" s="10" t="s">
        <v>114</v>
      </c>
      <c r="AZ185" s="10">
        <v>6.0308818706930714</v>
      </c>
      <c r="BA185" s="10">
        <v>5.5039248244678127</v>
      </c>
      <c r="BB185" s="11">
        <v>5.7175171505392974</v>
      </c>
      <c r="BC185" s="11">
        <v>5.4075651369469187E-2</v>
      </c>
      <c r="BD185" s="11">
        <v>0.70318122908577663</v>
      </c>
    </row>
    <row r="186" spans="1:56" x14ac:dyDescent="0.3">
      <c r="A186" t="s">
        <v>297</v>
      </c>
      <c r="B186" t="s">
        <v>60</v>
      </c>
      <c r="C186" s="10">
        <v>26913.357595636251</v>
      </c>
      <c r="D186" s="11">
        <v>2224.6701554577926</v>
      </c>
      <c r="E186" s="10">
        <v>111.9674470136066</v>
      </c>
      <c r="F186" s="10">
        <v>168625.11484227731</v>
      </c>
      <c r="G186" s="10">
        <v>331.35140316366983</v>
      </c>
      <c r="H186" s="10">
        <v>369759.66120402247</v>
      </c>
      <c r="I186" s="11">
        <v>355555.27825690084</v>
      </c>
      <c r="J186" s="10">
        <v>33.427919645352993</v>
      </c>
      <c r="K186" s="11">
        <v>1.1229634657131946</v>
      </c>
      <c r="L186" s="11">
        <v>1.9890211924656205</v>
      </c>
      <c r="M186" s="11">
        <v>16.72970842858237</v>
      </c>
      <c r="N186" s="11">
        <v>280.50738596915937</v>
      </c>
      <c r="O186" s="10">
        <v>295.88463356191102</v>
      </c>
      <c r="P186" s="10">
        <v>0.33627610122451246</v>
      </c>
      <c r="Q186" s="11">
        <v>15.325493667343501</v>
      </c>
      <c r="R186" s="11">
        <v>97.814522278726457</v>
      </c>
      <c r="S186" s="10">
        <v>98.506675966091123</v>
      </c>
      <c r="T186" s="11">
        <v>330.79001452607849</v>
      </c>
      <c r="U186" s="10">
        <v>305.84496580241944</v>
      </c>
      <c r="V186" s="10">
        <v>1.8829086072175962</v>
      </c>
      <c r="W186" s="10" t="s">
        <v>114</v>
      </c>
      <c r="X186" s="10">
        <v>0.42298893704167895</v>
      </c>
      <c r="Y186" s="11">
        <v>230.316595822837</v>
      </c>
      <c r="Z186" s="10">
        <v>2.5327660779034193</v>
      </c>
      <c r="AA186" s="10" t="s">
        <v>114</v>
      </c>
      <c r="AB186" s="10" t="s">
        <v>114</v>
      </c>
      <c r="AC186" s="10">
        <v>16.64636686884252</v>
      </c>
      <c r="AD186" s="10">
        <v>9.1110305707383716</v>
      </c>
      <c r="AE186" s="10">
        <v>0.20700682029679687</v>
      </c>
      <c r="AF186" s="10">
        <v>6.1922804340437312E-3</v>
      </c>
      <c r="AG186" s="11">
        <v>36.385089560449288</v>
      </c>
      <c r="AH186" s="11">
        <v>0.36764403658032013</v>
      </c>
      <c r="AI186" s="11">
        <v>0.74083757590648247</v>
      </c>
      <c r="AJ186" s="11">
        <v>7.3750437883725969E-2</v>
      </c>
      <c r="AK186" s="11">
        <v>0.31521615632762023</v>
      </c>
      <c r="AL186" s="11">
        <v>6.8579058583323999E-2</v>
      </c>
      <c r="AM186" s="11">
        <v>1.887776633578505E-2</v>
      </c>
      <c r="AN186" s="11">
        <v>6.1217675501548718E-2</v>
      </c>
      <c r="AO186" s="11">
        <v>1.1115112080196561E-2</v>
      </c>
      <c r="AP186" s="11">
        <v>6.0562176515098654E-2</v>
      </c>
      <c r="AQ186" s="11">
        <v>1.3780966780611142E-2</v>
      </c>
      <c r="AR186" s="11">
        <v>3.0538950193674228E-2</v>
      </c>
      <c r="AS186" s="11">
        <v>5.1953769279501133E-3</v>
      </c>
      <c r="AT186" s="11">
        <v>2.7690151742889003E-2</v>
      </c>
      <c r="AU186" s="11">
        <v>4.8772824601751577E-3</v>
      </c>
      <c r="AV186" s="10">
        <v>0.67687616458428834</v>
      </c>
      <c r="AW186" s="10" t="s">
        <v>114</v>
      </c>
      <c r="AX186" s="10" t="s">
        <v>114</v>
      </c>
      <c r="AY186" s="10" t="s">
        <v>114</v>
      </c>
      <c r="AZ186" s="10">
        <v>4.8393653750208072</v>
      </c>
      <c r="BA186" s="10">
        <v>4.3299253464199907</v>
      </c>
      <c r="BB186" s="11">
        <v>4.5447955934336886</v>
      </c>
      <c r="BC186" s="11">
        <v>0.70098774141091957</v>
      </c>
      <c r="BD186" s="11">
        <v>0.58331342839340683</v>
      </c>
    </row>
    <row r="187" spans="1:56" x14ac:dyDescent="0.3">
      <c r="A187" t="s">
        <v>298</v>
      </c>
      <c r="B187" t="s">
        <v>60</v>
      </c>
      <c r="C187" s="10">
        <v>28011.223908011336</v>
      </c>
      <c r="D187" s="11">
        <v>2085.8104186789565</v>
      </c>
      <c r="E187" s="10">
        <v>85.345900448984949</v>
      </c>
      <c r="F187" s="10">
        <v>152596.62291788988</v>
      </c>
      <c r="G187" s="10">
        <v>391.82575577587772</v>
      </c>
      <c r="H187" s="10">
        <v>334155.53353511379</v>
      </c>
      <c r="I187" s="11">
        <v>320036.86906960385</v>
      </c>
      <c r="J187" s="10">
        <v>91.242694177990813</v>
      </c>
      <c r="K187" s="11">
        <v>1.1256755924942139</v>
      </c>
      <c r="L187" s="11">
        <v>4.2302837988597384</v>
      </c>
      <c r="M187" s="11">
        <v>15.342326759631138</v>
      </c>
      <c r="N187" s="11">
        <v>268.21430384053548</v>
      </c>
      <c r="O187" s="10">
        <v>270.62491174640434</v>
      </c>
      <c r="P187" s="10">
        <v>18.636025654246048</v>
      </c>
      <c r="Q187" s="11">
        <v>189.09519789355704</v>
      </c>
      <c r="R187" s="11">
        <v>103.99917799047135</v>
      </c>
      <c r="S187" s="10">
        <v>104.16210695968286</v>
      </c>
      <c r="T187" s="11">
        <v>464.04127034980581</v>
      </c>
      <c r="U187" s="10">
        <v>425.26285479881221</v>
      </c>
      <c r="V187" s="10">
        <v>1.4168930898802838</v>
      </c>
      <c r="W187" s="10" t="s">
        <v>114</v>
      </c>
      <c r="X187" s="10">
        <v>0.49357476227676061</v>
      </c>
      <c r="Y187" s="11">
        <v>185.1981254166306</v>
      </c>
      <c r="Z187" s="10">
        <v>1.6799616184723158</v>
      </c>
      <c r="AA187" s="10" t="s">
        <v>114</v>
      </c>
      <c r="AB187" s="10" t="s">
        <v>114</v>
      </c>
      <c r="AC187" s="10">
        <v>13.996233112558796</v>
      </c>
      <c r="AD187" s="10">
        <v>9.3627958235629869</v>
      </c>
      <c r="AE187" s="10">
        <v>0.20716732619076111</v>
      </c>
      <c r="AF187" s="10">
        <v>7.3780229631508149E-3</v>
      </c>
      <c r="AG187" s="11">
        <v>29.636425393571869</v>
      </c>
      <c r="AH187" s="11">
        <v>1.1708791388981794</v>
      </c>
      <c r="AI187" s="11">
        <v>2.6847617135643103</v>
      </c>
      <c r="AJ187" s="11">
        <v>0.26855783697138208</v>
      </c>
      <c r="AK187" s="11">
        <v>1.1631348740070782</v>
      </c>
      <c r="AL187" s="11">
        <v>0.22227404425464503</v>
      </c>
      <c r="AM187" s="11">
        <v>5.8495791299986395E-2</v>
      </c>
      <c r="AN187" s="11">
        <v>0.25443491514507643</v>
      </c>
      <c r="AO187" s="11">
        <v>4.153041460193365E-2</v>
      </c>
      <c r="AP187" s="11">
        <v>0.21078072229172443</v>
      </c>
      <c r="AQ187" s="11">
        <v>4.8652873944098597E-2</v>
      </c>
      <c r="AR187" s="11">
        <v>0.12005021222681488</v>
      </c>
      <c r="AS187" s="11">
        <v>1.4590541887404255E-2</v>
      </c>
      <c r="AT187" s="11">
        <v>8.4858406175925022E-2</v>
      </c>
      <c r="AU187" s="11">
        <v>1.3963947328222443E-2</v>
      </c>
      <c r="AV187" s="10">
        <v>0.47534624424591171</v>
      </c>
      <c r="AW187" s="10" t="s">
        <v>114</v>
      </c>
      <c r="AX187" s="10" t="s">
        <v>114</v>
      </c>
      <c r="AY187" s="10" t="s">
        <v>114</v>
      </c>
      <c r="AZ187" s="10">
        <v>4.7947911744715848</v>
      </c>
      <c r="BA187" s="10">
        <v>4.4458876084139671</v>
      </c>
      <c r="BB187" s="11">
        <v>4.5452568754774623</v>
      </c>
      <c r="BC187" s="11">
        <v>0.49423375188995844</v>
      </c>
      <c r="BD187" s="11">
        <v>0.37313542801469973</v>
      </c>
    </row>
    <row r="188" spans="1:56" x14ac:dyDescent="0.3">
      <c r="A188" t="s">
        <v>299</v>
      </c>
      <c r="B188" t="s">
        <v>60</v>
      </c>
      <c r="C188" s="10">
        <v>26623.288942885902</v>
      </c>
      <c r="D188" s="11">
        <v>2264.5678058946828</v>
      </c>
      <c r="E188" s="10">
        <v>54.546607667518259</v>
      </c>
      <c r="F188" s="10">
        <v>132575.83658859888</v>
      </c>
      <c r="G188" s="10">
        <v>338.1059325855839</v>
      </c>
      <c r="H188" s="10">
        <v>291489.67717591586</v>
      </c>
      <c r="I188" s="11">
        <v>278314.17227141676</v>
      </c>
      <c r="J188" s="10">
        <v>25.796632553504629</v>
      </c>
      <c r="K188" s="11">
        <v>0.50360028312197791</v>
      </c>
      <c r="L188" s="11">
        <v>2.3703575181033356</v>
      </c>
      <c r="M188" s="11">
        <v>5.9241331770679935</v>
      </c>
      <c r="N188" s="11">
        <v>135.41723566191581</v>
      </c>
      <c r="O188" s="10">
        <v>142.49606193843582</v>
      </c>
      <c r="P188" s="10">
        <v>0.1502800145438454</v>
      </c>
      <c r="Q188" s="11">
        <v>5.8477585536882222</v>
      </c>
      <c r="R188" s="11">
        <v>91.312111332235432</v>
      </c>
      <c r="S188" s="10">
        <v>91.14358510489383</v>
      </c>
      <c r="T188" s="11">
        <v>172.98595262283524</v>
      </c>
      <c r="U188" s="10">
        <v>161.01830923996172</v>
      </c>
      <c r="V188" s="10">
        <v>0.89302739398884923</v>
      </c>
      <c r="W188" s="10" t="s">
        <v>114</v>
      </c>
      <c r="X188" s="10">
        <v>0.38396331241069465</v>
      </c>
      <c r="Y188" s="11">
        <v>127.47825308687898</v>
      </c>
      <c r="Z188" s="10">
        <v>1.2136580287418741</v>
      </c>
      <c r="AA188" s="10" t="s">
        <v>114</v>
      </c>
      <c r="AB188" s="10" t="s">
        <v>114</v>
      </c>
      <c r="AC188" s="10">
        <v>10.607559838569733</v>
      </c>
      <c r="AD188" s="10">
        <v>8.3596565410826056</v>
      </c>
      <c r="AE188" s="10">
        <v>0.16469320435221052</v>
      </c>
      <c r="AF188" s="10">
        <v>5.2147883814100621E-3</v>
      </c>
      <c r="AG188" s="11">
        <v>18.87639659880082</v>
      </c>
      <c r="AH188" s="11">
        <v>0.16117983948044798</v>
      </c>
      <c r="AI188" s="11">
        <v>0.34454858645972924</v>
      </c>
      <c r="AJ188" s="11">
        <v>3.5251512079452582E-2</v>
      </c>
      <c r="AK188" s="11">
        <v>0.13484648482417844</v>
      </c>
      <c r="AL188" s="11">
        <v>2.906485802680777E-2</v>
      </c>
      <c r="AM188" s="11">
        <v>7.0001912974335615E-3</v>
      </c>
      <c r="AN188" s="11">
        <v>2.8496172150685992E-2</v>
      </c>
      <c r="AO188" s="11">
        <v>5.8741899822283578E-3</v>
      </c>
      <c r="AP188" s="11">
        <v>2.7639922165702095E-2</v>
      </c>
      <c r="AQ188" s="11">
        <v>5.7872934019816335E-3</v>
      </c>
      <c r="AR188" s="11">
        <v>2.0158831045506247E-2</v>
      </c>
      <c r="AS188" s="11" t="s">
        <v>114</v>
      </c>
      <c r="AT188" s="11">
        <v>9.694229287549495E-3</v>
      </c>
      <c r="AU188" s="11">
        <v>1.4931611123773459E-3</v>
      </c>
      <c r="AV188" s="10">
        <v>0.25978218615711379</v>
      </c>
      <c r="AW188" s="10" t="s">
        <v>114</v>
      </c>
      <c r="AX188" s="10" t="s">
        <v>114</v>
      </c>
      <c r="AY188" s="10" t="s">
        <v>114</v>
      </c>
      <c r="AZ188" s="10">
        <v>1.4962028034251162</v>
      </c>
      <c r="BA188" s="10">
        <v>1.353675716404301</v>
      </c>
      <c r="BB188" s="11">
        <v>1.4138019112388001</v>
      </c>
      <c r="BC188" s="11">
        <v>0.24444768469119607</v>
      </c>
      <c r="BD188" s="11">
        <v>0.12470017137190748</v>
      </c>
    </row>
    <row r="189" spans="1:56" x14ac:dyDescent="0.3">
      <c r="A189" t="s">
        <v>300</v>
      </c>
      <c r="B189" t="s">
        <v>60</v>
      </c>
      <c r="C189" s="10">
        <v>29569.515770301663</v>
      </c>
      <c r="D189" s="11">
        <v>3152.8671313240238</v>
      </c>
      <c r="E189" s="10">
        <v>59.491244922872262</v>
      </c>
      <c r="F189" s="10">
        <v>155888.53287464991</v>
      </c>
      <c r="G189" s="10">
        <v>395.46323187250226</v>
      </c>
      <c r="H189" s="10">
        <v>343613.12328571425</v>
      </c>
      <c r="I189" s="11">
        <v>331047.12599718577</v>
      </c>
      <c r="J189" s="10">
        <v>7.2864357809374969</v>
      </c>
      <c r="K189" s="11">
        <v>1.4152546626855849</v>
      </c>
      <c r="L189" s="11">
        <v>2.7721528297221565</v>
      </c>
      <c r="M189" s="11">
        <v>58.227410631848521</v>
      </c>
      <c r="N189" s="11">
        <v>169.41568751587539</v>
      </c>
      <c r="O189" s="10">
        <v>181.34115297413575</v>
      </c>
      <c r="P189" s="10">
        <v>1.1683353400280909</v>
      </c>
      <c r="Q189" s="11">
        <v>7.7545775756390087</v>
      </c>
      <c r="R189" s="11">
        <v>102.98297637342634</v>
      </c>
      <c r="S189" s="10">
        <v>101.73557615075819</v>
      </c>
      <c r="T189" s="11">
        <v>178.25104008673495</v>
      </c>
      <c r="U189" s="10">
        <v>167.09908477473661</v>
      </c>
      <c r="V189" s="10">
        <v>2.4219584261463218</v>
      </c>
      <c r="W189" s="10" t="s">
        <v>114</v>
      </c>
      <c r="X189" s="10">
        <v>0.46163836549492349</v>
      </c>
      <c r="Y189" s="11">
        <v>339.66284345317263</v>
      </c>
      <c r="Z189" s="10">
        <v>1.5241550575016434</v>
      </c>
      <c r="AA189" s="10" t="s">
        <v>114</v>
      </c>
      <c r="AB189" s="10" t="s">
        <v>114</v>
      </c>
      <c r="AC189" s="10">
        <v>13.02184101229863</v>
      </c>
      <c r="AD189" s="10">
        <v>9.2007357278737949</v>
      </c>
      <c r="AE189" s="10">
        <v>0.28834226651584166</v>
      </c>
      <c r="AF189" s="10">
        <v>6.2551240673292298E-3</v>
      </c>
      <c r="AG189" s="11">
        <v>32.224379801855434</v>
      </c>
      <c r="AH189" s="11">
        <v>0.12662920690861543</v>
      </c>
      <c r="AI189" s="11">
        <v>0.25274879763382246</v>
      </c>
      <c r="AJ189" s="11">
        <v>2.2142857551142141E-2</v>
      </c>
      <c r="AK189" s="11">
        <v>9.6705459518544298E-2</v>
      </c>
      <c r="AL189" s="11">
        <v>2.0905748177980243E-2</v>
      </c>
      <c r="AM189" s="11">
        <v>9.9600021811420796E-3</v>
      </c>
      <c r="AN189" s="11">
        <v>1.5001573927223425E-2</v>
      </c>
      <c r="AO189" s="11">
        <v>3.5897966716701164E-3</v>
      </c>
      <c r="AP189" s="11">
        <v>1.4548199000709975E-2</v>
      </c>
      <c r="AQ189" s="11" t="s">
        <v>114</v>
      </c>
      <c r="AR189" s="11" t="s">
        <v>114</v>
      </c>
      <c r="AS189" s="11" t="s">
        <v>114</v>
      </c>
      <c r="AT189" s="11" t="s">
        <v>114</v>
      </c>
      <c r="AU189" s="11" t="s">
        <v>114</v>
      </c>
      <c r="AV189" s="10">
        <v>0.31653280957795565</v>
      </c>
      <c r="AW189" s="10" t="s">
        <v>114</v>
      </c>
      <c r="AX189" s="10">
        <v>1.6241633069713913E-3</v>
      </c>
      <c r="AY189" s="10" t="s">
        <v>114</v>
      </c>
      <c r="AZ189" s="10">
        <v>11.576700787235207</v>
      </c>
      <c r="BA189" s="10">
        <v>10.360983914919915</v>
      </c>
      <c r="BB189" s="11">
        <v>10.911722889092712</v>
      </c>
      <c r="BC189" s="11">
        <v>0.19425146648382252</v>
      </c>
      <c r="BD189" s="11">
        <v>4.4474336366264264</v>
      </c>
    </row>
    <row r="190" spans="1:56" x14ac:dyDescent="0.3">
      <c r="A190" t="s">
        <v>301</v>
      </c>
      <c r="B190" t="s">
        <v>60</v>
      </c>
      <c r="C190" s="10">
        <v>30233.362153842128</v>
      </c>
      <c r="D190" s="11">
        <v>3285.6831362276112</v>
      </c>
      <c r="E190" s="10">
        <v>61.68273118618896</v>
      </c>
      <c r="F190" s="10">
        <v>138940.24168254095</v>
      </c>
      <c r="G190" s="10">
        <v>351.57999860230086</v>
      </c>
      <c r="H190" s="10">
        <v>304961.32406115608</v>
      </c>
      <c r="I190" s="11">
        <v>294054.47061252833</v>
      </c>
      <c r="J190" s="10">
        <v>5.7876862758436847</v>
      </c>
      <c r="K190" s="11">
        <v>1.056244239591356</v>
      </c>
      <c r="L190" s="11">
        <v>2.0197258515770318</v>
      </c>
      <c r="M190" s="11">
        <v>46.104186692051165</v>
      </c>
      <c r="N190" s="11">
        <v>155.59080460186942</v>
      </c>
      <c r="O190" s="10">
        <v>167.09520030206042</v>
      </c>
      <c r="P190" s="10">
        <v>0.21027896683526362</v>
      </c>
      <c r="Q190" s="11">
        <v>6.2201311502764423</v>
      </c>
      <c r="R190" s="11">
        <v>103.3205974701584</v>
      </c>
      <c r="S190" s="10">
        <v>104.08891683489045</v>
      </c>
      <c r="T190" s="11">
        <v>178.33788148052346</v>
      </c>
      <c r="U190" s="10">
        <v>167.24151560922803</v>
      </c>
      <c r="V190" s="10">
        <v>1.6949188936155783</v>
      </c>
      <c r="W190" s="10" t="s">
        <v>114</v>
      </c>
      <c r="X190" s="10">
        <v>0.34764489858877845</v>
      </c>
      <c r="Y190" s="11">
        <v>324.06970108578105</v>
      </c>
      <c r="Z190" s="10">
        <v>1.2294936995657215</v>
      </c>
      <c r="AA190" s="10" t="s">
        <v>114</v>
      </c>
      <c r="AB190" s="10" t="s">
        <v>114</v>
      </c>
      <c r="AC190" s="10">
        <v>14.709862727367714</v>
      </c>
      <c r="AD190" s="10">
        <v>9.281462593044191</v>
      </c>
      <c r="AE190" s="10">
        <v>0.23082165182918812</v>
      </c>
      <c r="AF190" s="10">
        <v>5.281409931195716E-3</v>
      </c>
      <c r="AG190" s="11">
        <v>34.492835987836095</v>
      </c>
      <c r="AH190" s="11">
        <v>0.11876905826950974</v>
      </c>
      <c r="AI190" s="11">
        <v>0.23789882626331571</v>
      </c>
      <c r="AJ190" s="11">
        <v>2.4301516856267635E-2</v>
      </c>
      <c r="AK190" s="11">
        <v>0.10277771964720581</v>
      </c>
      <c r="AL190" s="11">
        <v>1.6055350718934273E-2</v>
      </c>
      <c r="AM190" s="11">
        <v>5.957559515559159E-3</v>
      </c>
      <c r="AN190" s="11">
        <v>2.1439830434095093E-2</v>
      </c>
      <c r="AO190" s="11" t="s">
        <v>114</v>
      </c>
      <c r="AP190" s="11">
        <v>1.9746343590692127E-2</v>
      </c>
      <c r="AQ190" s="11" t="s">
        <v>114</v>
      </c>
      <c r="AR190" s="11" t="s">
        <v>114</v>
      </c>
      <c r="AS190" s="11" t="s">
        <v>114</v>
      </c>
      <c r="AT190" s="11" t="s">
        <v>114</v>
      </c>
      <c r="AU190" s="11" t="s">
        <v>114</v>
      </c>
      <c r="AV190" s="10">
        <v>0.28222151335339313</v>
      </c>
      <c r="AW190" s="10" t="s">
        <v>114</v>
      </c>
      <c r="AX190" s="10">
        <v>2.5560923056930389E-3</v>
      </c>
      <c r="AY190" s="10" t="s">
        <v>114</v>
      </c>
      <c r="AZ190" s="10">
        <v>3.689261398785888</v>
      </c>
      <c r="BA190" s="10">
        <v>3.2766613582162454</v>
      </c>
      <c r="BB190" s="11">
        <v>3.4373631778657328</v>
      </c>
      <c r="BC190" s="11">
        <v>0.13817034033913042</v>
      </c>
      <c r="BD190" s="11">
        <v>1.58641278805599</v>
      </c>
    </row>
    <row r="191" spans="1:56" x14ac:dyDescent="0.3">
      <c r="A191" t="s">
        <v>302</v>
      </c>
      <c r="B191" t="s">
        <v>60</v>
      </c>
      <c r="C191" s="10">
        <v>26973.289963758296</v>
      </c>
      <c r="D191" s="11">
        <v>2992.7140734657564</v>
      </c>
      <c r="E191" s="10">
        <v>63.636483054798788</v>
      </c>
      <c r="F191" s="10">
        <v>136520.43725994194</v>
      </c>
      <c r="G191" s="10">
        <v>329.13020031890642</v>
      </c>
      <c r="H191" s="10">
        <v>298581.50797898875</v>
      </c>
      <c r="I191" s="11">
        <v>289129.20527953998</v>
      </c>
      <c r="J191" s="10">
        <v>16.96375900815833</v>
      </c>
      <c r="K191" s="11">
        <v>1.1481136957385234</v>
      </c>
      <c r="L191" s="11">
        <v>2.1238421442983184</v>
      </c>
      <c r="M191" s="11">
        <v>19.229810269431042</v>
      </c>
      <c r="N191" s="11">
        <v>199.64002093305206</v>
      </c>
      <c r="O191" s="10">
        <v>212.34734598753141</v>
      </c>
      <c r="P191" s="10">
        <v>0.31444232629608199</v>
      </c>
      <c r="Q191" s="11">
        <v>7.1332936694350613</v>
      </c>
      <c r="R191" s="11">
        <v>95.640932137887972</v>
      </c>
      <c r="S191" s="10">
        <v>95.221014046696723</v>
      </c>
      <c r="T191" s="11">
        <v>162.7585171229677</v>
      </c>
      <c r="U191" s="10">
        <v>151.83501598042039</v>
      </c>
      <c r="V191" s="10">
        <v>1.1203365753015766</v>
      </c>
      <c r="W191" s="10" t="s">
        <v>114</v>
      </c>
      <c r="X191" s="10">
        <v>0.46814036459393427</v>
      </c>
      <c r="Y191" s="11">
        <v>320.94375759567816</v>
      </c>
      <c r="Z191" s="10">
        <v>1.1807911953589241</v>
      </c>
      <c r="AA191" s="10" t="s">
        <v>114</v>
      </c>
      <c r="AB191" s="10">
        <v>0.41401773290200472</v>
      </c>
      <c r="AC191" s="10">
        <v>12.101292507041874</v>
      </c>
      <c r="AD191" s="10">
        <v>8.4980241407528556</v>
      </c>
      <c r="AE191" s="10">
        <v>0.22515836929636832</v>
      </c>
      <c r="AF191" s="10">
        <v>7.6115753454913558E-3</v>
      </c>
      <c r="AG191" s="11">
        <v>29.869609593807994</v>
      </c>
      <c r="AH191" s="11">
        <v>0.15852142451452805</v>
      </c>
      <c r="AI191" s="11">
        <v>0.29606133386173722</v>
      </c>
      <c r="AJ191" s="11">
        <v>3.0979666163412176E-2</v>
      </c>
      <c r="AK191" s="11">
        <v>0.13306436211192416</v>
      </c>
      <c r="AL191" s="11">
        <v>2.0047178850760298E-2</v>
      </c>
      <c r="AM191" s="11">
        <v>5.8615390386284527E-3</v>
      </c>
      <c r="AN191" s="11">
        <v>3.4521738907624271E-2</v>
      </c>
      <c r="AO191" s="11">
        <v>3.2080018339763626E-3</v>
      </c>
      <c r="AP191" s="11">
        <v>2.7176901956910613E-2</v>
      </c>
      <c r="AQ191" s="11">
        <v>4.5962014652825697E-3</v>
      </c>
      <c r="AR191" s="11">
        <v>1.5248103685444481E-2</v>
      </c>
      <c r="AS191" s="11" t="s">
        <v>114</v>
      </c>
      <c r="AT191" s="11">
        <v>1.2582586509031999E-2</v>
      </c>
      <c r="AU191" s="11">
        <v>3.0556411747050091E-3</v>
      </c>
      <c r="AV191" s="10">
        <v>0.18644401562121035</v>
      </c>
      <c r="AW191" s="10" t="s">
        <v>114</v>
      </c>
      <c r="AX191" s="10" t="s">
        <v>114</v>
      </c>
      <c r="AY191" s="10">
        <v>4.4363843412390577E-3</v>
      </c>
      <c r="AZ191" s="10">
        <v>6.0318484451778636</v>
      </c>
      <c r="BA191" s="10">
        <v>5.4505261918012726</v>
      </c>
      <c r="BB191" s="11">
        <v>5.7151404985533709</v>
      </c>
      <c r="BC191" s="11">
        <v>8.8347627050080105E-2</v>
      </c>
      <c r="BD191" s="11">
        <v>1.6914656215785941</v>
      </c>
    </row>
    <row r="192" spans="1:56" x14ac:dyDescent="0.3">
      <c r="A192" t="s">
        <v>303</v>
      </c>
      <c r="B192" t="s">
        <v>60</v>
      </c>
      <c r="C192" s="10">
        <v>24661.488111635834</v>
      </c>
      <c r="D192" s="11">
        <v>2221.8724141692642</v>
      </c>
      <c r="E192" s="10">
        <v>69.249542513684531</v>
      </c>
      <c r="F192" s="10">
        <v>151162.60491291812</v>
      </c>
      <c r="G192" s="10">
        <v>321.62088461502896</v>
      </c>
      <c r="H192" s="10">
        <v>330685.36652353627</v>
      </c>
      <c r="I192" s="11">
        <v>317718.78775778378</v>
      </c>
      <c r="J192" s="10">
        <v>29.945170511389833</v>
      </c>
      <c r="K192" s="11">
        <v>0.5178833541245621</v>
      </c>
      <c r="L192" s="11">
        <v>1.4717444365607675</v>
      </c>
      <c r="M192" s="11">
        <v>12.664382040118557</v>
      </c>
      <c r="N192" s="11">
        <v>195.33592695543012</v>
      </c>
      <c r="O192" s="10">
        <v>204.47113008342109</v>
      </c>
      <c r="P192" s="10">
        <v>0.16628530182577664</v>
      </c>
      <c r="Q192" s="11">
        <v>6.8504251467526158</v>
      </c>
      <c r="R192" s="11">
        <v>91.485700448064208</v>
      </c>
      <c r="S192" s="10">
        <v>92.069214251587695</v>
      </c>
      <c r="T192" s="11">
        <v>345.81131218550047</v>
      </c>
      <c r="U192" s="10">
        <v>314.24776214615878</v>
      </c>
      <c r="V192" s="10" t="s">
        <v>114</v>
      </c>
      <c r="W192" s="10" t="s">
        <v>114</v>
      </c>
      <c r="X192" s="10">
        <v>0.41627978513667485</v>
      </c>
      <c r="Y192" s="11">
        <v>133.47769983023349</v>
      </c>
      <c r="Z192" s="10">
        <v>1.7337887600127526</v>
      </c>
      <c r="AA192" s="10" t="s">
        <v>114</v>
      </c>
      <c r="AB192" s="10" t="s">
        <v>114</v>
      </c>
      <c r="AC192" s="10">
        <v>12.616912173037734</v>
      </c>
      <c r="AD192" s="10">
        <v>8.5777637881815938</v>
      </c>
      <c r="AE192" s="10">
        <v>0.15095730648422906</v>
      </c>
      <c r="AF192" s="10">
        <v>5.6124669764338339E-3</v>
      </c>
      <c r="AG192" s="11">
        <v>27.640171750620251</v>
      </c>
      <c r="AH192" s="11">
        <v>0.60807895283089985</v>
      </c>
      <c r="AI192" s="11">
        <v>1.3466601455631853</v>
      </c>
      <c r="AJ192" s="11">
        <v>0.14181247472179184</v>
      </c>
      <c r="AK192" s="11">
        <v>0.62229722800384568</v>
      </c>
      <c r="AL192" s="11">
        <v>0.12843403199226908</v>
      </c>
      <c r="AM192" s="11">
        <v>2.9222268665663121E-2</v>
      </c>
      <c r="AN192" s="11">
        <v>0.13071243010657155</v>
      </c>
      <c r="AO192" s="11">
        <v>1.9753666510550463E-2</v>
      </c>
      <c r="AP192" s="11">
        <v>0.11070997901968395</v>
      </c>
      <c r="AQ192" s="11">
        <v>2.3749658553271172E-2</v>
      </c>
      <c r="AR192" s="11">
        <v>6.3734019246613441E-2</v>
      </c>
      <c r="AS192" s="11">
        <v>8.1408094741974111E-3</v>
      </c>
      <c r="AT192" s="11">
        <v>5.0241928417009182E-2</v>
      </c>
      <c r="AU192" s="11">
        <v>6.340219244518581E-3</v>
      </c>
      <c r="AV192" s="10">
        <v>0.23099949603609052</v>
      </c>
      <c r="AW192" s="10" t="s">
        <v>114</v>
      </c>
      <c r="AX192" s="10" t="s">
        <v>114</v>
      </c>
      <c r="AY192" s="10" t="s">
        <v>114</v>
      </c>
      <c r="AZ192" s="10">
        <v>9.242977056246902</v>
      </c>
      <c r="BA192" s="10">
        <v>8.4265897544483863</v>
      </c>
      <c r="BB192" s="11">
        <v>8.7694581440447017</v>
      </c>
      <c r="BC192" s="11">
        <v>0.11295960587299506</v>
      </c>
      <c r="BD192" s="11">
        <v>0.28485134775235427</v>
      </c>
    </row>
    <row r="193" spans="1:56" x14ac:dyDescent="0.3">
      <c r="A193" t="s">
        <v>304</v>
      </c>
      <c r="B193" t="s">
        <v>60</v>
      </c>
      <c r="C193" s="10">
        <v>26624.651803653003</v>
      </c>
      <c r="D193" s="11">
        <v>3316.1020477263514</v>
      </c>
      <c r="E193" s="10">
        <v>81.813698864040219</v>
      </c>
      <c r="F193" s="10">
        <v>125234.18189888258</v>
      </c>
      <c r="G193" s="10">
        <v>353.93368591956431</v>
      </c>
      <c r="H193" s="10">
        <v>278351.24625880818</v>
      </c>
      <c r="I193" s="11">
        <v>268872.17330243514</v>
      </c>
      <c r="J193" s="10">
        <v>44.472203398817399</v>
      </c>
      <c r="K193" s="11">
        <v>1.913911667917229</v>
      </c>
      <c r="L193" s="11" t="s">
        <v>114</v>
      </c>
      <c r="M193" s="11">
        <v>79.740934675122688</v>
      </c>
      <c r="N193" s="11">
        <v>133.94196571880889</v>
      </c>
      <c r="O193" s="10">
        <v>157.10017056893327</v>
      </c>
      <c r="P193" s="10">
        <v>0.47014227757996319</v>
      </c>
      <c r="Q193" s="11">
        <v>9.739854555318967</v>
      </c>
      <c r="R193" s="11">
        <v>100.52908181220945</v>
      </c>
      <c r="S193" s="10">
        <v>100.48874366195734</v>
      </c>
      <c r="T193" s="11">
        <v>189.80458636366282</v>
      </c>
      <c r="U193" s="10">
        <v>175.95458762460825</v>
      </c>
      <c r="V193" s="10">
        <v>1.2005053478734236</v>
      </c>
      <c r="W193" s="10" t="s">
        <v>114</v>
      </c>
      <c r="X193" s="10">
        <v>0.60820101456854203</v>
      </c>
      <c r="Y193" s="11">
        <v>451.78131701591769</v>
      </c>
      <c r="Z193" s="10">
        <v>1.7869597699637654</v>
      </c>
      <c r="AA193" s="10" t="s">
        <v>114</v>
      </c>
      <c r="AB193" s="10" t="s">
        <v>114</v>
      </c>
      <c r="AC193" s="10">
        <v>12.222670814412345</v>
      </c>
      <c r="AD193" s="10">
        <v>8.5992292496027076</v>
      </c>
      <c r="AE193" s="10">
        <v>0.27633526144086457</v>
      </c>
      <c r="AF193" s="10">
        <v>6.0192170428063629E-3</v>
      </c>
      <c r="AG193" s="11">
        <v>30.321958019490062</v>
      </c>
      <c r="AH193" s="11">
        <v>0.23361005391591236</v>
      </c>
      <c r="AI193" s="11">
        <v>0.49262742896602035</v>
      </c>
      <c r="AJ193" s="11">
        <v>4.9336132161853265E-2</v>
      </c>
      <c r="AK193" s="11">
        <v>0.20706590801106642</v>
      </c>
      <c r="AL193" s="11">
        <v>4.0344242840286176E-2</v>
      </c>
      <c r="AM193" s="11">
        <v>1.0571876311871051E-2</v>
      </c>
      <c r="AN193" s="11">
        <v>3.8475738891385107E-2</v>
      </c>
      <c r="AO193" s="11">
        <v>7.3337101730761804E-3</v>
      </c>
      <c r="AP193" s="11">
        <v>4.6598968380371371E-2</v>
      </c>
      <c r="AQ193" s="11">
        <v>8.7108433409608266E-3</v>
      </c>
      <c r="AR193" s="11">
        <v>2.5904385384317268E-2</v>
      </c>
      <c r="AS193" s="11">
        <v>2.8508845135764875E-3</v>
      </c>
      <c r="AT193" s="11">
        <v>2.0800408818536956E-2</v>
      </c>
      <c r="AU193" s="11">
        <v>2.7413357728663084E-3</v>
      </c>
      <c r="AV193" s="10">
        <v>0.25455183996594583</v>
      </c>
      <c r="AW193" s="10" t="s">
        <v>114</v>
      </c>
      <c r="AX193" s="10">
        <v>1.4799099294301801E-3</v>
      </c>
      <c r="AY193" s="10" t="s">
        <v>114</v>
      </c>
      <c r="AZ193" s="10">
        <v>3.8082968881767916</v>
      </c>
      <c r="BA193" s="10">
        <v>3.4063960662543478</v>
      </c>
      <c r="BB193" s="11">
        <v>3.5713236461498101</v>
      </c>
      <c r="BC193" s="11">
        <v>6.7417224818912783E-2</v>
      </c>
      <c r="BD193" s="11">
        <v>3.2806673833489404</v>
      </c>
    </row>
    <row r="194" spans="1:56" x14ac:dyDescent="0.3">
      <c r="A194" t="s">
        <v>305</v>
      </c>
      <c r="B194" t="s">
        <v>60</v>
      </c>
      <c r="C194" s="10">
        <v>24755.881651872183</v>
      </c>
      <c r="D194" s="11">
        <v>1704.3967294974079</v>
      </c>
      <c r="E194" s="10">
        <v>55.398133497270841</v>
      </c>
      <c r="F194" s="10">
        <v>82585.490325302366</v>
      </c>
      <c r="G194" s="10">
        <v>282.70034261312628</v>
      </c>
      <c r="H194" s="10">
        <v>180456.90808602257</v>
      </c>
      <c r="I194" s="11">
        <v>174152.14142056351</v>
      </c>
      <c r="J194" s="10">
        <v>4.8986901729961758</v>
      </c>
      <c r="K194" s="11">
        <v>0.43424919399209605</v>
      </c>
      <c r="L194" s="11">
        <v>1.8443227453032525</v>
      </c>
      <c r="M194" s="11">
        <v>14.578679478286919</v>
      </c>
      <c r="N194" s="11">
        <v>113.56230419080347</v>
      </c>
      <c r="O194" s="10">
        <v>119.7754034329274</v>
      </c>
      <c r="P194" s="10">
        <v>0.15760349499661433</v>
      </c>
      <c r="Q194" s="11">
        <v>6.0826965004567555</v>
      </c>
      <c r="R194" s="11">
        <v>100.06318381578643</v>
      </c>
      <c r="S194" s="10">
        <v>99.768635936219681</v>
      </c>
      <c r="T194" s="11">
        <v>149.23263275960551</v>
      </c>
      <c r="U194" s="10">
        <v>138.35517822788398</v>
      </c>
      <c r="V194" s="10">
        <v>0.55099822848453051</v>
      </c>
      <c r="W194" s="10" t="s">
        <v>114</v>
      </c>
      <c r="X194" s="10">
        <v>0.37720895229586121</v>
      </c>
      <c r="Y194" s="11">
        <v>218.135320279751</v>
      </c>
      <c r="Z194" s="10">
        <v>1.3819271927917023</v>
      </c>
      <c r="AA194" s="10" t="s">
        <v>114</v>
      </c>
      <c r="AB194" s="10" t="s">
        <v>114</v>
      </c>
      <c r="AC194" s="10">
        <v>14.389847757558003</v>
      </c>
      <c r="AD194" s="10">
        <v>9.3440705372528701</v>
      </c>
      <c r="AE194" s="10">
        <v>0.15428855318784249</v>
      </c>
      <c r="AF194" s="10">
        <v>4.3114863399692947E-3</v>
      </c>
      <c r="AG194" s="11">
        <v>31.310862820335164</v>
      </c>
      <c r="AH194" s="11">
        <v>0.11375033268663974</v>
      </c>
      <c r="AI194" s="11">
        <v>0.20090004527187874</v>
      </c>
      <c r="AJ194" s="11">
        <v>1.917884487985436E-2</v>
      </c>
      <c r="AK194" s="11">
        <v>8.5695298507717399E-2</v>
      </c>
      <c r="AL194" s="11">
        <v>1.8268320755500361E-2</v>
      </c>
      <c r="AM194" s="11">
        <v>5.7401732624347218E-3</v>
      </c>
      <c r="AN194" s="11">
        <v>1.1326661898464391E-2</v>
      </c>
      <c r="AO194" s="11" t="s">
        <v>114</v>
      </c>
      <c r="AP194" s="11">
        <v>1.3173652335394269E-2</v>
      </c>
      <c r="AQ194" s="11" t="s">
        <v>114</v>
      </c>
      <c r="AR194" s="11" t="s">
        <v>114</v>
      </c>
      <c r="AS194" s="11" t="s">
        <v>114</v>
      </c>
      <c r="AT194" s="11" t="s">
        <v>114</v>
      </c>
      <c r="AU194" s="11" t="s">
        <v>114</v>
      </c>
      <c r="AV194" s="10">
        <v>0.13145141674979871</v>
      </c>
      <c r="AW194" s="10" t="s">
        <v>114</v>
      </c>
      <c r="AX194" s="10" t="s">
        <v>114</v>
      </c>
      <c r="AY194" s="10" t="s">
        <v>114</v>
      </c>
      <c r="AZ194" s="10">
        <v>1.5029201783997612</v>
      </c>
      <c r="BA194" s="10">
        <v>1.3870966082490521</v>
      </c>
      <c r="BB194" s="11">
        <v>1.4381966203317635</v>
      </c>
      <c r="BC194" s="11" t="s">
        <v>114</v>
      </c>
      <c r="BD194" s="11">
        <v>0.33606925298676593</v>
      </c>
    </row>
    <row r="195" spans="1:56" x14ac:dyDescent="0.3">
      <c r="A195" t="s">
        <v>306</v>
      </c>
      <c r="B195" t="s">
        <v>60</v>
      </c>
      <c r="C195" s="10">
        <v>26406.636230037289</v>
      </c>
      <c r="D195" s="11">
        <v>2190.3702415157891</v>
      </c>
      <c r="E195" s="10">
        <v>65.616874537175079</v>
      </c>
      <c r="F195" s="10">
        <v>145475.87079920052</v>
      </c>
      <c r="G195" s="10">
        <v>382.46486621863193</v>
      </c>
      <c r="H195" s="10">
        <v>321609.99512085877</v>
      </c>
      <c r="I195" s="11">
        <v>308427.76787823084</v>
      </c>
      <c r="J195" s="10">
        <v>21.49087948984139</v>
      </c>
      <c r="K195" s="11">
        <v>0.66410011963277826</v>
      </c>
      <c r="L195" s="11">
        <v>4.0839046254966993</v>
      </c>
      <c r="M195" s="11">
        <v>33.691697354467586</v>
      </c>
      <c r="N195" s="11">
        <v>217.84346033196218</v>
      </c>
      <c r="O195" s="10">
        <v>228.17583253750863</v>
      </c>
      <c r="P195" s="10">
        <v>3.9668889413552968</v>
      </c>
      <c r="Q195" s="11">
        <v>33.195787487177</v>
      </c>
      <c r="R195" s="11">
        <v>101.82670288772371</v>
      </c>
      <c r="S195" s="10">
        <v>101.16276604805891</v>
      </c>
      <c r="T195" s="11">
        <v>354.60320287124193</v>
      </c>
      <c r="U195" s="10">
        <v>323.81571328214727</v>
      </c>
      <c r="V195" s="10">
        <v>1.2974080516470996</v>
      </c>
      <c r="W195" s="10" t="s">
        <v>114</v>
      </c>
      <c r="X195" s="10">
        <v>0.41589030997995441</v>
      </c>
      <c r="Y195" s="11">
        <v>228.69671157105634</v>
      </c>
      <c r="Z195" s="10">
        <v>1.3198596631935526</v>
      </c>
      <c r="AA195" s="10" t="s">
        <v>114</v>
      </c>
      <c r="AB195" s="10" t="s">
        <v>114</v>
      </c>
      <c r="AC195" s="10">
        <v>14.174684036121874</v>
      </c>
      <c r="AD195" s="10">
        <v>9.4646472843731555</v>
      </c>
      <c r="AE195" s="10">
        <v>0.23931632530978064</v>
      </c>
      <c r="AF195" s="10">
        <v>6.1595697900329992E-3</v>
      </c>
      <c r="AG195" s="11">
        <v>32.577437507605836</v>
      </c>
      <c r="AH195" s="11">
        <v>0.30933596468034974</v>
      </c>
      <c r="AI195" s="11">
        <v>0.58965345940452296</v>
      </c>
      <c r="AJ195" s="11">
        <v>6.579083549679543E-2</v>
      </c>
      <c r="AK195" s="11">
        <v>0.243278130200548</v>
      </c>
      <c r="AL195" s="11">
        <v>5.1671302786629146E-2</v>
      </c>
      <c r="AM195" s="11">
        <v>1.3720145419047326E-2</v>
      </c>
      <c r="AN195" s="11">
        <v>5.5882217733241521E-2</v>
      </c>
      <c r="AO195" s="11">
        <v>1.0030083086316605E-2</v>
      </c>
      <c r="AP195" s="11">
        <v>4.8844755799517414E-2</v>
      </c>
      <c r="AQ195" s="11">
        <v>1.1981094726576963E-2</v>
      </c>
      <c r="AR195" s="11">
        <v>3.1291394041083199E-2</v>
      </c>
      <c r="AS195" s="11">
        <v>4.4595497159613234E-3</v>
      </c>
      <c r="AT195" s="11">
        <v>2.85238027442823E-2</v>
      </c>
      <c r="AU195" s="11">
        <v>2.1663645189857576E-3</v>
      </c>
      <c r="AV195" s="10">
        <v>0.14463575005512386</v>
      </c>
      <c r="AW195" s="10" t="s">
        <v>114</v>
      </c>
      <c r="AX195" s="10" t="s">
        <v>114</v>
      </c>
      <c r="AY195" s="10" t="s">
        <v>114</v>
      </c>
      <c r="AZ195" s="10">
        <v>1.7281545164545984</v>
      </c>
      <c r="BA195" s="10">
        <v>1.6025203371133028</v>
      </c>
      <c r="BB195" s="11">
        <v>1.6608617995889188</v>
      </c>
      <c r="BC195" s="11" t="s">
        <v>114</v>
      </c>
      <c r="BD195" s="11">
        <v>1.7471762068831191</v>
      </c>
    </row>
    <row r="196" spans="1:56" x14ac:dyDescent="0.3">
      <c r="A196" t="s">
        <v>307</v>
      </c>
      <c r="B196" t="s">
        <v>60</v>
      </c>
      <c r="C196" s="10">
        <v>25291.240047331619</v>
      </c>
      <c r="D196" s="11">
        <v>2813.7579885389418</v>
      </c>
      <c r="E196" s="10">
        <v>56.106427306448595</v>
      </c>
      <c r="F196" s="10">
        <v>122469.27531445603</v>
      </c>
      <c r="G196" s="10">
        <v>416.1146751525593</v>
      </c>
      <c r="H196" s="10">
        <v>272792.60401906044</v>
      </c>
      <c r="I196" s="11">
        <v>264041.57606809674</v>
      </c>
      <c r="J196" s="10">
        <v>7.2068958468196138</v>
      </c>
      <c r="K196" s="11">
        <v>1.4913897549618775</v>
      </c>
      <c r="L196" s="11">
        <v>2.5256276276707443</v>
      </c>
      <c r="M196" s="11">
        <v>82.910376038841903</v>
      </c>
      <c r="N196" s="11">
        <v>97.277215815842908</v>
      </c>
      <c r="O196" s="10">
        <v>117.00467083621538</v>
      </c>
      <c r="P196" s="10">
        <v>0.30110468165396836</v>
      </c>
      <c r="Q196" s="11">
        <v>7.820205413195116</v>
      </c>
      <c r="R196" s="11">
        <v>97.362072464641344</v>
      </c>
      <c r="S196" s="10">
        <v>97.140926386900702</v>
      </c>
      <c r="T196" s="11">
        <v>157.12534818962135</v>
      </c>
      <c r="U196" s="10">
        <v>144.91082459183207</v>
      </c>
      <c r="V196" s="10">
        <v>4.4009708461979313</v>
      </c>
      <c r="W196" s="10" t="s">
        <v>114</v>
      </c>
      <c r="X196" s="10">
        <v>0.33238302370229655</v>
      </c>
      <c r="Y196" s="11">
        <v>361.65984228062666</v>
      </c>
      <c r="Z196" s="10">
        <v>1.2266053494503777</v>
      </c>
      <c r="AA196" s="10" t="s">
        <v>114</v>
      </c>
      <c r="AB196" s="10" t="s">
        <v>114</v>
      </c>
      <c r="AC196" s="10">
        <v>13.150970887056905</v>
      </c>
      <c r="AD196" s="10">
        <v>8.4856193081588582</v>
      </c>
      <c r="AE196" s="10">
        <v>0.3102661217148881</v>
      </c>
      <c r="AF196" s="10">
        <v>4.71953613682413E-3</v>
      </c>
      <c r="AG196" s="11">
        <v>37.686127228278671</v>
      </c>
      <c r="AH196" s="11">
        <v>0.12065823342468945</v>
      </c>
      <c r="AI196" s="11">
        <v>0.23366117318080806</v>
      </c>
      <c r="AJ196" s="11">
        <v>2.9412834899763828E-2</v>
      </c>
      <c r="AK196" s="11">
        <v>9.610029138140222E-2</v>
      </c>
      <c r="AL196" s="11">
        <v>1.90417442876048E-2</v>
      </c>
      <c r="AM196" s="11">
        <v>4.1041657729333353E-3</v>
      </c>
      <c r="AN196" s="11">
        <v>2.1311434615249515E-2</v>
      </c>
      <c r="AO196" s="11">
        <v>3.3005587385754659E-3</v>
      </c>
      <c r="AP196" s="11">
        <v>1.085237842928896E-2</v>
      </c>
      <c r="AQ196" s="11" t="s">
        <v>114</v>
      </c>
      <c r="AR196" s="11" t="s">
        <v>114</v>
      </c>
      <c r="AS196" s="11" t="s">
        <v>114</v>
      </c>
      <c r="AT196" s="11" t="s">
        <v>114</v>
      </c>
      <c r="AU196" s="11">
        <v>1.520428064187314E-3</v>
      </c>
      <c r="AV196" s="10">
        <v>0.18205513166481097</v>
      </c>
      <c r="AW196" s="10" t="s">
        <v>114</v>
      </c>
      <c r="AX196" s="10" t="s">
        <v>114</v>
      </c>
      <c r="AY196" s="10" t="s">
        <v>114</v>
      </c>
      <c r="AZ196" s="10">
        <v>1.8818751631749713</v>
      </c>
      <c r="BA196" s="10">
        <v>1.737790208725458</v>
      </c>
      <c r="BB196" s="11">
        <v>1.7876239744796087</v>
      </c>
      <c r="BC196" s="11" t="s">
        <v>114</v>
      </c>
      <c r="BD196" s="11">
        <v>4.5963686593988982</v>
      </c>
    </row>
    <row r="197" spans="1:56" x14ac:dyDescent="0.3">
      <c r="A197" t="s">
        <v>308</v>
      </c>
      <c r="B197" t="s">
        <v>60</v>
      </c>
      <c r="C197" s="10">
        <v>23309.686006570737</v>
      </c>
      <c r="D197" s="11">
        <v>2272.0344537492379</v>
      </c>
      <c r="E197" s="10">
        <v>54.26752793244512</v>
      </c>
      <c r="F197" s="10">
        <v>121083.50926609193</v>
      </c>
      <c r="G197" s="10">
        <v>485.88398771753384</v>
      </c>
      <c r="H197" s="10">
        <v>266386.87717544573</v>
      </c>
      <c r="I197" s="11">
        <v>254541.57311619874</v>
      </c>
      <c r="J197" s="10">
        <v>9.7073648800712125</v>
      </c>
      <c r="K197" s="11">
        <v>0.34849070706819785</v>
      </c>
      <c r="L197" s="11">
        <v>1.815744355115005</v>
      </c>
      <c r="M197" s="11">
        <v>6.444686595472942</v>
      </c>
      <c r="N197" s="11">
        <v>128.76800160967153</v>
      </c>
      <c r="O197" s="10">
        <v>133.62733950849798</v>
      </c>
      <c r="P197" s="10">
        <v>0.27088341511740816</v>
      </c>
      <c r="Q197" s="11">
        <v>225.60992411058407</v>
      </c>
      <c r="R197" s="11">
        <v>88.985818495613202</v>
      </c>
      <c r="S197" s="10">
        <v>88.831871031619954</v>
      </c>
      <c r="T197" s="11">
        <v>264.07127116956514</v>
      </c>
      <c r="U197" s="10">
        <v>243.26359815018174</v>
      </c>
      <c r="V197" s="10">
        <v>0.58916989943884612</v>
      </c>
      <c r="W197" s="10" t="s">
        <v>114</v>
      </c>
      <c r="X197" s="10">
        <v>0.37769358404899545</v>
      </c>
      <c r="Y197" s="11">
        <v>129.07720490181222</v>
      </c>
      <c r="Z197" s="10">
        <v>0.99688991484780543</v>
      </c>
      <c r="AA197" s="10" t="s">
        <v>114</v>
      </c>
      <c r="AB197" s="10" t="s">
        <v>114</v>
      </c>
      <c r="AC197" s="10">
        <v>12.763053357446843</v>
      </c>
      <c r="AD197" s="10">
        <v>8.2044978585495212</v>
      </c>
      <c r="AE197" s="10">
        <v>0.14258346479710834</v>
      </c>
      <c r="AF197" s="10">
        <v>5.1520541656113316E-3</v>
      </c>
      <c r="AG197" s="11">
        <v>28.317459086810974</v>
      </c>
      <c r="AH197" s="11">
        <v>0.13816057686343444</v>
      </c>
      <c r="AI197" s="11">
        <v>0.32497369829484729</v>
      </c>
      <c r="AJ197" s="11">
        <v>2.5585264018435683E-2</v>
      </c>
      <c r="AK197" s="11">
        <v>0.11380961970083588</v>
      </c>
      <c r="AL197" s="11">
        <v>1.7692559305421535E-2</v>
      </c>
      <c r="AM197" s="11">
        <v>5.6476286724860998E-3</v>
      </c>
      <c r="AN197" s="11">
        <v>1.3632990703724202E-2</v>
      </c>
      <c r="AO197" s="11">
        <v>2.8429305579839473E-3</v>
      </c>
      <c r="AP197" s="11">
        <v>1.8578697631183892E-2</v>
      </c>
      <c r="AQ197" s="11">
        <v>3.7054217889343991E-3</v>
      </c>
      <c r="AR197" s="11">
        <v>1.2478047584147597E-2</v>
      </c>
      <c r="AS197" s="11" t="s">
        <v>114</v>
      </c>
      <c r="AT197" s="11">
        <v>6.6902160936941632E-3</v>
      </c>
      <c r="AU197" s="11" t="s">
        <v>114</v>
      </c>
      <c r="AV197" s="10">
        <v>7.2612402677514468E-2</v>
      </c>
      <c r="AW197" s="10" t="s">
        <v>114</v>
      </c>
      <c r="AX197" s="10" t="s">
        <v>114</v>
      </c>
      <c r="AY197" s="10" t="s">
        <v>114</v>
      </c>
      <c r="AZ197" s="10">
        <v>2.0941790514448662</v>
      </c>
      <c r="BA197" s="10">
        <v>1.8924002915158045</v>
      </c>
      <c r="BB197" s="11">
        <v>1.9638842248989303</v>
      </c>
      <c r="BC197" s="11" t="s">
        <v>114</v>
      </c>
      <c r="BD197" s="11">
        <v>0.22446482382260063</v>
      </c>
    </row>
    <row r="198" spans="1:56" x14ac:dyDescent="0.3">
      <c r="A198" t="s">
        <v>309</v>
      </c>
      <c r="B198" t="s">
        <v>60</v>
      </c>
      <c r="C198" s="10">
        <v>25161.518960257668</v>
      </c>
      <c r="D198" s="11">
        <v>2831.1192822450048</v>
      </c>
      <c r="E198" s="10">
        <v>86.393361773776064</v>
      </c>
      <c r="F198" s="10">
        <v>137659.61941856277</v>
      </c>
      <c r="G198" s="10">
        <v>497.98530432970529</v>
      </c>
      <c r="H198" s="10">
        <v>301830.37497490231</v>
      </c>
      <c r="I198" s="11">
        <v>288790.59751941118</v>
      </c>
      <c r="J198" s="10">
        <v>30.976005123997584</v>
      </c>
      <c r="K198" s="11">
        <v>0.76411132149343552</v>
      </c>
      <c r="L198" s="11">
        <v>1.4171667641120651</v>
      </c>
      <c r="M198" s="11">
        <v>7.5188279453403517</v>
      </c>
      <c r="N198" s="11">
        <v>152.49584512703092</v>
      </c>
      <c r="O198" s="10">
        <v>187.75673814072582</v>
      </c>
      <c r="P198" s="10">
        <v>0.13905800474838034</v>
      </c>
      <c r="Q198" s="11">
        <v>7.129057719564849</v>
      </c>
      <c r="R198" s="11">
        <v>93.099465613860161</v>
      </c>
      <c r="S198" s="10">
        <v>93.800307543617919</v>
      </c>
      <c r="T198" s="11">
        <v>192.50672701588942</v>
      </c>
      <c r="U198" s="10">
        <v>178.62545921944047</v>
      </c>
      <c r="V198" s="10">
        <v>1.2305314781802668</v>
      </c>
      <c r="W198" s="10" t="s">
        <v>114</v>
      </c>
      <c r="X198" s="10">
        <v>0.38570550360466382</v>
      </c>
      <c r="Y198" s="11">
        <v>133.02687730838397</v>
      </c>
      <c r="Z198" s="10">
        <v>1.4402198273735456</v>
      </c>
      <c r="AA198" s="10" t="s">
        <v>114</v>
      </c>
      <c r="AB198" s="10" t="s">
        <v>114</v>
      </c>
      <c r="AC198" s="10">
        <v>13.528603333695324</v>
      </c>
      <c r="AD198" s="10">
        <v>8.4282021077281968</v>
      </c>
      <c r="AE198" s="10">
        <v>0.20094685733353052</v>
      </c>
      <c r="AF198" s="10">
        <v>6.5623471446283731E-3</v>
      </c>
      <c r="AG198" s="11">
        <v>30.713244847077355</v>
      </c>
      <c r="AH198" s="11">
        <v>0.13326875056699353</v>
      </c>
      <c r="AI198" s="11">
        <v>0.29105020837195966</v>
      </c>
      <c r="AJ198" s="11">
        <v>3.1671667739277369E-2</v>
      </c>
      <c r="AK198" s="11">
        <v>0.13120571282323992</v>
      </c>
      <c r="AL198" s="11">
        <v>2.9920779164189452E-2</v>
      </c>
      <c r="AM198" s="11">
        <v>6.8684439182853888E-3</v>
      </c>
      <c r="AN198" s="11">
        <v>2.4297192578512088E-2</v>
      </c>
      <c r="AO198" s="11" t="s">
        <v>114</v>
      </c>
      <c r="AP198" s="11">
        <v>2.2075144202820758E-2</v>
      </c>
      <c r="AQ198" s="11" t="s">
        <v>114</v>
      </c>
      <c r="AR198" s="11" t="s">
        <v>114</v>
      </c>
      <c r="AS198" s="11" t="s">
        <v>114</v>
      </c>
      <c r="AT198" s="11">
        <v>8.433358490632703E-3</v>
      </c>
      <c r="AU198" s="11" t="s">
        <v>114</v>
      </c>
      <c r="AV198" s="10">
        <v>0.11614082247535844</v>
      </c>
      <c r="AW198" s="10" t="s">
        <v>114</v>
      </c>
      <c r="AX198" s="10" t="s">
        <v>114</v>
      </c>
      <c r="AY198" s="10" t="s">
        <v>114</v>
      </c>
      <c r="AZ198" s="10">
        <v>1.3737105891354651</v>
      </c>
      <c r="BA198" s="10">
        <v>1.2695329999242764</v>
      </c>
      <c r="BB198" s="11">
        <v>1.3175270920503872</v>
      </c>
      <c r="BC198" s="11" t="s">
        <v>114</v>
      </c>
      <c r="BD198" s="11">
        <v>0.47600845636962275</v>
      </c>
    </row>
    <row r="199" spans="1:56" x14ac:dyDescent="0.3">
      <c r="A199" t="s">
        <v>310</v>
      </c>
      <c r="B199" t="s">
        <v>60</v>
      </c>
      <c r="C199" s="10">
        <v>23769.894015344853</v>
      </c>
      <c r="D199" s="11">
        <v>2267.9173825845614</v>
      </c>
      <c r="E199" s="10">
        <v>86.466066591343932</v>
      </c>
      <c r="F199" s="10">
        <v>147441.85432996796</v>
      </c>
      <c r="G199" s="10">
        <v>503.15056856255569</v>
      </c>
      <c r="H199" s="10">
        <v>322451.07153296279</v>
      </c>
      <c r="I199" s="11">
        <v>307769.50885452074</v>
      </c>
      <c r="J199" s="10">
        <v>145.89158282517153</v>
      </c>
      <c r="K199" s="11">
        <v>0.96219176729006894</v>
      </c>
      <c r="L199" s="11">
        <v>2.1657575500321653</v>
      </c>
      <c r="M199" s="11">
        <v>17.13940403966399</v>
      </c>
      <c r="N199" s="11">
        <v>995.76947085120594</v>
      </c>
      <c r="O199" s="10">
        <v>997.06015241950865</v>
      </c>
      <c r="P199" s="10">
        <v>0.73499020265871562</v>
      </c>
      <c r="Q199" s="11">
        <v>248.08691462060858</v>
      </c>
      <c r="R199" s="11">
        <v>89.862910336610128</v>
      </c>
      <c r="S199" s="10">
        <v>89.959358187071459</v>
      </c>
      <c r="T199" s="11">
        <v>568.32951621307814</v>
      </c>
      <c r="U199" s="10">
        <v>528.18290055978468</v>
      </c>
      <c r="V199" s="10">
        <v>1.3233007616590988</v>
      </c>
      <c r="W199" s="10" t="s">
        <v>114</v>
      </c>
      <c r="X199" s="10">
        <v>0.37330151390512534</v>
      </c>
      <c r="Y199" s="11">
        <v>132.07591237041092</v>
      </c>
      <c r="Z199" s="10">
        <v>1.5816209409857525</v>
      </c>
      <c r="AA199" s="10" t="s">
        <v>114</v>
      </c>
      <c r="AB199" s="10" t="s">
        <v>114</v>
      </c>
      <c r="AC199" s="10">
        <v>11.547512880678564</v>
      </c>
      <c r="AD199" s="10">
        <v>8.5078807892029538</v>
      </c>
      <c r="AE199" s="10">
        <v>0.21063667625923232</v>
      </c>
      <c r="AF199" s="10">
        <v>5.7897799454708883E-3</v>
      </c>
      <c r="AG199" s="11">
        <v>21.483368418384</v>
      </c>
      <c r="AH199" s="11">
        <v>0.74723604851109904</v>
      </c>
      <c r="AI199" s="11">
        <v>1.5606095837522183</v>
      </c>
      <c r="AJ199" s="11">
        <v>0.15635551558075436</v>
      </c>
      <c r="AK199" s="11">
        <v>0.6997015782516709</v>
      </c>
      <c r="AL199" s="11">
        <v>0.14301585073791123</v>
      </c>
      <c r="AM199" s="11">
        <v>3.7352663973866607E-2</v>
      </c>
      <c r="AN199" s="11">
        <v>0.14062129272718243</v>
      </c>
      <c r="AO199" s="11">
        <v>2.257214945871024E-2</v>
      </c>
      <c r="AP199" s="11">
        <v>0.13467469742332569</v>
      </c>
      <c r="AQ199" s="11">
        <v>2.8233970856438282E-2</v>
      </c>
      <c r="AR199" s="11">
        <v>8.9675796108022857E-2</v>
      </c>
      <c r="AS199" s="11">
        <v>1.0491743258286189E-2</v>
      </c>
      <c r="AT199" s="11">
        <v>6.6326041403851912E-2</v>
      </c>
      <c r="AU199" s="11">
        <v>1.006793284788314E-2</v>
      </c>
      <c r="AV199" s="10">
        <v>0.14787469131899386</v>
      </c>
      <c r="AW199" s="10" t="s">
        <v>114</v>
      </c>
      <c r="AX199" s="10" t="s">
        <v>114</v>
      </c>
      <c r="AY199" s="10" t="s">
        <v>114</v>
      </c>
      <c r="AZ199" s="10">
        <v>4.9879734633135584</v>
      </c>
      <c r="BA199" s="10">
        <v>4.6363735555503434</v>
      </c>
      <c r="BB199" s="11">
        <v>4.7620256423684708</v>
      </c>
      <c r="BC199" s="11" t="s">
        <v>114</v>
      </c>
      <c r="BD199" s="11">
        <v>0.42914755965657458</v>
      </c>
    </row>
    <row r="200" spans="1:56" x14ac:dyDescent="0.3">
      <c r="A200" t="s">
        <v>311</v>
      </c>
      <c r="B200" t="s">
        <v>60</v>
      </c>
      <c r="C200" s="10">
        <v>25845.585555698981</v>
      </c>
      <c r="D200" s="11">
        <v>2603.4027213803747</v>
      </c>
      <c r="E200" s="10">
        <v>75.34843419303148</v>
      </c>
      <c r="F200" s="10">
        <v>167941.84747875898</v>
      </c>
      <c r="G200" s="10">
        <v>470.9647201672766</v>
      </c>
      <c r="H200" s="10">
        <v>366116.57982993359</v>
      </c>
      <c r="I200" s="11">
        <v>352296.77108350076</v>
      </c>
      <c r="J200" s="10">
        <v>27.200656525498864</v>
      </c>
      <c r="K200" s="11">
        <v>0.42630288773902153</v>
      </c>
      <c r="L200" s="11">
        <v>1.6558770259010547</v>
      </c>
      <c r="M200" s="11">
        <v>7.1718706274273218</v>
      </c>
      <c r="N200" s="11">
        <v>139.8754993906436</v>
      </c>
      <c r="O200" s="10">
        <v>152.02460267731337</v>
      </c>
      <c r="P200" s="10">
        <v>0.1135143755026933</v>
      </c>
      <c r="Q200" s="11">
        <v>5.2978981576392368</v>
      </c>
      <c r="R200" s="11">
        <v>91.606420546170256</v>
      </c>
      <c r="S200" s="10">
        <v>91.580364669003799</v>
      </c>
      <c r="T200" s="11">
        <v>369.84400046265966</v>
      </c>
      <c r="U200" s="10">
        <v>339.00610694825235</v>
      </c>
      <c r="V200" s="10">
        <v>0.82987765637604594</v>
      </c>
      <c r="W200" s="10" t="s">
        <v>114</v>
      </c>
      <c r="X200" s="10">
        <v>0.41711759460409709</v>
      </c>
      <c r="Y200" s="11">
        <v>189.02130738073626</v>
      </c>
      <c r="Z200" s="10">
        <v>1.1215813318286276</v>
      </c>
      <c r="AA200" s="10" t="s">
        <v>114</v>
      </c>
      <c r="AB200" s="10" t="s">
        <v>114</v>
      </c>
      <c r="AC200" s="10">
        <v>7.1173680979900391</v>
      </c>
      <c r="AD200" s="10">
        <v>8.7721496099206178</v>
      </c>
      <c r="AE200" s="10">
        <v>0.18490803803470232</v>
      </c>
      <c r="AF200" s="10">
        <v>6.3537997423675141E-3</v>
      </c>
      <c r="AG200" s="11">
        <v>22.516959804753135</v>
      </c>
      <c r="AH200" s="11">
        <v>0.27698865685521307</v>
      </c>
      <c r="AI200" s="11">
        <v>0.59510596753602851</v>
      </c>
      <c r="AJ200" s="11">
        <v>6.0294869772359455E-2</v>
      </c>
      <c r="AK200" s="11">
        <v>0.23589085553755165</v>
      </c>
      <c r="AL200" s="11">
        <v>5.641479995758171E-2</v>
      </c>
      <c r="AM200" s="11">
        <v>1.2356285114209305E-2</v>
      </c>
      <c r="AN200" s="11">
        <v>4.1966585287169227E-2</v>
      </c>
      <c r="AO200" s="11">
        <v>7.6939090284954678E-3</v>
      </c>
      <c r="AP200" s="11">
        <v>4.7888703852241823E-2</v>
      </c>
      <c r="AQ200" s="11">
        <v>8.5471937437848287E-3</v>
      </c>
      <c r="AR200" s="11">
        <v>2.5225556171192438E-2</v>
      </c>
      <c r="AS200" s="11">
        <v>2.8980026197442774E-3</v>
      </c>
      <c r="AT200" s="11">
        <v>2.120865507000709E-2</v>
      </c>
      <c r="AU200" s="11">
        <v>2.8437342353099522E-3</v>
      </c>
      <c r="AV200" s="10">
        <v>0.10738580121355609</v>
      </c>
      <c r="AW200" s="10" t="s">
        <v>114</v>
      </c>
      <c r="AX200" s="10" t="s">
        <v>114</v>
      </c>
      <c r="AY200" s="10" t="s">
        <v>114</v>
      </c>
      <c r="AZ200" s="10">
        <v>1.9010031678773325</v>
      </c>
      <c r="BA200" s="10">
        <v>1.7642651128533526</v>
      </c>
      <c r="BB200" s="11">
        <v>1.8056115056171362</v>
      </c>
      <c r="BC200" s="11" t="s">
        <v>114</v>
      </c>
      <c r="BD200" s="11">
        <v>0.12965743812297303</v>
      </c>
    </row>
    <row r="201" spans="1:56" x14ac:dyDescent="0.3">
      <c r="A201" t="s">
        <v>312</v>
      </c>
      <c r="B201" t="s">
        <v>60</v>
      </c>
      <c r="C201" s="10">
        <v>27088.081959679923</v>
      </c>
      <c r="D201" s="11">
        <v>2643.7794619561691</v>
      </c>
      <c r="E201" s="10">
        <v>58.049600793605094</v>
      </c>
      <c r="F201" s="10">
        <v>157703.6805183148</v>
      </c>
      <c r="G201" s="10">
        <v>460.14927418616099</v>
      </c>
      <c r="H201" s="10">
        <v>342137.20460114669</v>
      </c>
      <c r="I201" s="11">
        <v>328729.39797475969</v>
      </c>
      <c r="J201" s="10">
        <v>9.628582197486244</v>
      </c>
      <c r="K201" s="11">
        <v>0.34438863642437845</v>
      </c>
      <c r="L201" s="11">
        <v>1.4044372554741518</v>
      </c>
      <c r="M201" s="11">
        <v>5.6727223491220231</v>
      </c>
      <c r="N201" s="11">
        <v>181.40268165695187</v>
      </c>
      <c r="O201" s="10">
        <v>200.72576847156193</v>
      </c>
      <c r="P201" s="10">
        <v>0.15778815410845709</v>
      </c>
      <c r="Q201" s="11">
        <v>30.734615239493891</v>
      </c>
      <c r="R201" s="11">
        <v>100.20591554083674</v>
      </c>
      <c r="S201" s="10">
        <v>101.25629563396164</v>
      </c>
      <c r="T201" s="11">
        <v>180.24134220196595</v>
      </c>
      <c r="U201" s="10">
        <v>165.1265245760604</v>
      </c>
      <c r="V201" s="10" t="s">
        <v>114</v>
      </c>
      <c r="W201" s="10" t="s">
        <v>114</v>
      </c>
      <c r="X201" s="10">
        <v>0.44172897827740504</v>
      </c>
      <c r="Y201" s="11">
        <v>84.389514214453371</v>
      </c>
      <c r="Z201" s="10">
        <v>1.1304660082032301</v>
      </c>
      <c r="AA201" s="10" t="s">
        <v>114</v>
      </c>
      <c r="AB201" s="10" t="s">
        <v>114</v>
      </c>
      <c r="AC201" s="10">
        <v>7.6233367338414153</v>
      </c>
      <c r="AD201" s="10">
        <v>9.2845204986211698</v>
      </c>
      <c r="AE201" s="10">
        <v>0.13948900492870178</v>
      </c>
      <c r="AF201" s="10">
        <v>5.7337278216646938E-3</v>
      </c>
      <c r="AG201" s="11">
        <v>19.811309214440453</v>
      </c>
      <c r="AH201" s="11">
        <v>0.14074021873120013</v>
      </c>
      <c r="AI201" s="11">
        <v>0.31529146430399052</v>
      </c>
      <c r="AJ201" s="11">
        <v>2.6176136793199592E-2</v>
      </c>
      <c r="AK201" s="11">
        <v>0.10677535056880354</v>
      </c>
      <c r="AL201" s="11">
        <v>2.652321858409849E-2</v>
      </c>
      <c r="AM201" s="11">
        <v>4.7265187250973431E-3</v>
      </c>
      <c r="AN201" s="11">
        <v>2.2612134813908426E-2</v>
      </c>
      <c r="AO201" s="11">
        <v>5.4233575493019687E-3</v>
      </c>
      <c r="AP201" s="11">
        <v>2.5425759695978017E-2</v>
      </c>
      <c r="AQ201" s="11">
        <v>4.5091801805475116E-3</v>
      </c>
      <c r="AR201" s="11">
        <v>1.3143685375274581E-2</v>
      </c>
      <c r="AS201" s="11" t="s">
        <v>114</v>
      </c>
      <c r="AT201" s="11">
        <v>9.5811319314053085E-3</v>
      </c>
      <c r="AU201" s="11" t="s">
        <v>114</v>
      </c>
      <c r="AV201" s="10">
        <v>7.8997185869500816E-2</v>
      </c>
      <c r="AW201" s="10" t="s">
        <v>114</v>
      </c>
      <c r="AX201" s="10" t="s">
        <v>114</v>
      </c>
      <c r="AY201" s="10" t="s">
        <v>114</v>
      </c>
      <c r="AZ201" s="10">
        <v>4.5892675195006563</v>
      </c>
      <c r="BA201" s="10">
        <v>4.1835115297969869</v>
      </c>
      <c r="BB201" s="11">
        <v>4.3751290591896224</v>
      </c>
      <c r="BC201" s="11" t="s">
        <v>114</v>
      </c>
      <c r="BD201" s="11">
        <v>7.3016821889655067E-2</v>
      </c>
    </row>
    <row r="202" spans="1:56" x14ac:dyDescent="0.3">
      <c r="A202" t="s">
        <v>313</v>
      </c>
      <c r="B202" t="s">
        <v>60</v>
      </c>
      <c r="C202" s="10">
        <v>25678.605723975168</v>
      </c>
      <c r="D202" s="11">
        <v>2633.1649127349442</v>
      </c>
      <c r="E202" s="10">
        <v>57.557586456278862</v>
      </c>
      <c r="F202" s="10">
        <v>134821.44358973441</v>
      </c>
      <c r="G202" s="10">
        <v>405.10558487937823</v>
      </c>
      <c r="H202" s="10">
        <v>293590.89784313238</v>
      </c>
      <c r="I202" s="11">
        <v>282352.65755407</v>
      </c>
      <c r="J202" s="10">
        <v>19.597801389303115</v>
      </c>
      <c r="K202" s="11">
        <v>0.35515165957927475</v>
      </c>
      <c r="L202" s="11">
        <v>2.492132854660388</v>
      </c>
      <c r="M202" s="11">
        <v>5.1041954691238098</v>
      </c>
      <c r="N202" s="11">
        <v>200.28784687041286</v>
      </c>
      <c r="O202" s="10">
        <v>213.52607574913185</v>
      </c>
      <c r="P202" s="10">
        <v>0.12372748677777813</v>
      </c>
      <c r="Q202" s="11">
        <v>6.602185016245615</v>
      </c>
      <c r="R202" s="11">
        <v>93.788958085045834</v>
      </c>
      <c r="S202" s="10">
        <v>93.889558994204577</v>
      </c>
      <c r="T202" s="11">
        <v>128.49848185601721</v>
      </c>
      <c r="U202" s="10">
        <v>119.38700978562399</v>
      </c>
      <c r="V202" s="10" t="s">
        <v>114</v>
      </c>
      <c r="W202" s="10" t="s">
        <v>114</v>
      </c>
      <c r="X202" s="10">
        <v>0.27897832096320202</v>
      </c>
      <c r="Y202" s="11">
        <v>117.46733693250465</v>
      </c>
      <c r="Z202" s="10">
        <v>0.97743380988275319</v>
      </c>
      <c r="AA202" s="10" t="s">
        <v>114</v>
      </c>
      <c r="AB202" s="10" t="s">
        <v>114</v>
      </c>
      <c r="AC202" s="10">
        <v>6.8022321852291903</v>
      </c>
      <c r="AD202" s="10">
        <v>8.6912114567152052</v>
      </c>
      <c r="AE202" s="10">
        <v>0.14889612541033553</v>
      </c>
      <c r="AF202" s="10">
        <v>6.4225278888238495E-3</v>
      </c>
      <c r="AG202" s="11">
        <v>19.296399807002551</v>
      </c>
      <c r="AH202" s="11">
        <v>0.13096562202130616</v>
      </c>
      <c r="AI202" s="11">
        <v>0.270799800361197</v>
      </c>
      <c r="AJ202" s="11">
        <v>2.2799162991462348E-2</v>
      </c>
      <c r="AK202" s="11">
        <v>8.9631787509907926E-2</v>
      </c>
      <c r="AL202" s="11">
        <v>1.5068341251953443E-2</v>
      </c>
      <c r="AM202" s="11">
        <v>4.2098360715164531E-3</v>
      </c>
      <c r="AN202" s="11">
        <v>1.7271489312978797E-2</v>
      </c>
      <c r="AO202" s="11">
        <v>4.2215030205418709E-3</v>
      </c>
      <c r="AP202" s="11">
        <v>1.7480827205755251E-2</v>
      </c>
      <c r="AQ202" s="11" t="s">
        <v>114</v>
      </c>
      <c r="AR202" s="11">
        <v>1.1295100741927022E-2</v>
      </c>
      <c r="AS202" s="11" t="s">
        <v>114</v>
      </c>
      <c r="AT202" s="11" t="s">
        <v>114</v>
      </c>
      <c r="AU202" s="11">
        <v>1.5701106894883896E-3</v>
      </c>
      <c r="AV202" s="10">
        <v>5.3789051165758134E-2</v>
      </c>
      <c r="AW202" s="10" t="s">
        <v>114</v>
      </c>
      <c r="AX202" s="10" t="s">
        <v>114</v>
      </c>
      <c r="AY202" s="10" t="s">
        <v>114</v>
      </c>
      <c r="AZ202" s="10">
        <v>1.561850991969421</v>
      </c>
      <c r="BA202" s="10">
        <v>1.4806016886661184</v>
      </c>
      <c r="BB202" s="11">
        <v>1.5071193856824232</v>
      </c>
      <c r="BC202" s="11" t="s">
        <v>114</v>
      </c>
      <c r="BD202" s="11">
        <v>0.16259826958486653</v>
      </c>
    </row>
    <row r="203" spans="1:56" x14ac:dyDescent="0.3">
      <c r="A203" t="s">
        <v>314</v>
      </c>
      <c r="B203" t="s">
        <v>60</v>
      </c>
      <c r="C203" s="10">
        <v>27363.626753147524</v>
      </c>
      <c r="D203" s="11">
        <v>2985.2458451873385</v>
      </c>
      <c r="E203" s="10">
        <v>85.375721251012976</v>
      </c>
      <c r="F203" s="10">
        <v>148937.86538869195</v>
      </c>
      <c r="G203" s="10">
        <v>452.10567799515144</v>
      </c>
      <c r="H203" s="10">
        <v>329306.43882611097</v>
      </c>
      <c r="I203" s="11">
        <v>316703.51489591086</v>
      </c>
      <c r="J203" s="10">
        <v>101.44525772396688</v>
      </c>
      <c r="K203" s="11">
        <v>0.96968453011380695</v>
      </c>
      <c r="L203" s="11">
        <v>2.9767768234523779</v>
      </c>
      <c r="M203" s="11">
        <v>16.493349772427635</v>
      </c>
      <c r="N203" s="11">
        <v>177.16410212393515</v>
      </c>
      <c r="O203" s="10">
        <v>187.44588590388244</v>
      </c>
      <c r="P203" s="10">
        <v>0.32859520205449322</v>
      </c>
      <c r="Q203" s="11">
        <v>58.364387086766804</v>
      </c>
      <c r="R203" s="11">
        <v>98.346931805594934</v>
      </c>
      <c r="S203" s="10">
        <v>98.115681641649289</v>
      </c>
      <c r="T203" s="11">
        <v>199.35483233619627</v>
      </c>
      <c r="U203" s="10">
        <v>183.18983262915157</v>
      </c>
      <c r="V203" s="10">
        <v>1.3845656992479582</v>
      </c>
      <c r="W203" s="10" t="s">
        <v>114</v>
      </c>
      <c r="X203" s="10">
        <v>0.35009939556633662</v>
      </c>
      <c r="Y203" s="11">
        <v>239.07508966868679</v>
      </c>
      <c r="Z203" s="10">
        <v>1.4416707264750739</v>
      </c>
      <c r="AA203" s="10" t="s">
        <v>114</v>
      </c>
      <c r="AB203" s="10" t="s">
        <v>114</v>
      </c>
      <c r="AC203" s="10">
        <v>7.7443575243102014</v>
      </c>
      <c r="AD203" s="10">
        <v>9.1409919504447181</v>
      </c>
      <c r="AE203" s="10">
        <v>0.22108662035739113</v>
      </c>
      <c r="AF203" s="10">
        <v>5.923947230104862E-3</v>
      </c>
      <c r="AG203" s="11">
        <v>26.288751925750013</v>
      </c>
      <c r="AH203" s="11">
        <v>0.28367358756165062</v>
      </c>
      <c r="AI203" s="11">
        <v>0.53474815391087704</v>
      </c>
      <c r="AJ203" s="11">
        <v>6.0053423250635084E-2</v>
      </c>
      <c r="AK203" s="11">
        <v>0.22688464639190892</v>
      </c>
      <c r="AL203" s="11">
        <v>4.0824763567515722E-2</v>
      </c>
      <c r="AM203" s="11">
        <v>1.3677411532541364E-2</v>
      </c>
      <c r="AN203" s="11">
        <v>5.4163743096134156E-2</v>
      </c>
      <c r="AO203" s="11">
        <v>8.7066799910818192E-3</v>
      </c>
      <c r="AP203" s="11">
        <v>4.3817630220248475E-2</v>
      </c>
      <c r="AQ203" s="11">
        <v>1.062113801322008E-2</v>
      </c>
      <c r="AR203" s="11">
        <v>2.5541208367672666E-2</v>
      </c>
      <c r="AS203" s="11">
        <v>4.7727982291723269E-3</v>
      </c>
      <c r="AT203" s="11">
        <v>1.7909869225026583E-2</v>
      </c>
      <c r="AU203" s="11">
        <v>3.7734315934520209E-3</v>
      </c>
      <c r="AV203" s="10">
        <v>0.10590934372494749</v>
      </c>
      <c r="AW203" s="10" t="s">
        <v>114</v>
      </c>
      <c r="AX203" s="10" t="s">
        <v>114</v>
      </c>
      <c r="AY203" s="10" t="s">
        <v>114</v>
      </c>
      <c r="AZ203" s="10">
        <v>3.9088803992189445</v>
      </c>
      <c r="BA203" s="10">
        <v>3.4889824852743749</v>
      </c>
      <c r="BB203" s="11">
        <v>3.6641642280960172</v>
      </c>
      <c r="BC203" s="11" t="s">
        <v>114</v>
      </c>
      <c r="BD203" s="11">
        <v>1.5229950050828986</v>
      </c>
    </row>
    <row r="204" spans="1:56" x14ac:dyDescent="0.3">
      <c r="A204" t="s">
        <v>315</v>
      </c>
      <c r="B204" t="s">
        <v>60</v>
      </c>
      <c r="C204" s="10">
        <v>13037.170271206853</v>
      </c>
      <c r="D204" s="11">
        <v>2655.3592648639606</v>
      </c>
      <c r="E204" s="10">
        <v>448.72068638777546</v>
      </c>
      <c r="F204" s="10">
        <v>145906.82255935742</v>
      </c>
      <c r="G204" s="10">
        <v>457.54793997843854</v>
      </c>
      <c r="H204" s="10">
        <v>327751.10718020477</v>
      </c>
      <c r="I204" s="11">
        <v>315903.9578467086</v>
      </c>
      <c r="J204" s="10">
        <v>353.73080152650851</v>
      </c>
      <c r="K204" s="11">
        <v>1.9071762524436831</v>
      </c>
      <c r="L204" s="11">
        <v>2.1803933289725581</v>
      </c>
      <c r="M204" s="11">
        <v>11.457101371313364</v>
      </c>
      <c r="N204" s="11">
        <v>297.91261157582579</v>
      </c>
      <c r="O204" s="10">
        <v>329.14038676634522</v>
      </c>
      <c r="P204" s="10">
        <v>1.416225540988336</v>
      </c>
      <c r="Q204" s="11">
        <v>10.073856298436878</v>
      </c>
      <c r="R204" s="11">
        <v>56.27084516237074</v>
      </c>
      <c r="S204" s="10">
        <v>55.936786631626475</v>
      </c>
      <c r="T204" s="11">
        <v>228.84823081440308</v>
      </c>
      <c r="U204" s="10">
        <v>209.20452707679854</v>
      </c>
      <c r="V204" s="10">
        <v>2.5451809938410062</v>
      </c>
      <c r="W204" s="10" t="s">
        <v>114</v>
      </c>
      <c r="X204" s="10">
        <v>0.62978621411600655</v>
      </c>
      <c r="Y204" s="11">
        <v>206.11385359003992</v>
      </c>
      <c r="Z204" s="10">
        <v>14.912951131047452</v>
      </c>
      <c r="AA204" s="10">
        <v>0.55108232483624675</v>
      </c>
      <c r="AB204" s="10">
        <v>0.50744092252975781</v>
      </c>
      <c r="AC204" s="10">
        <v>5.1086923561428277</v>
      </c>
      <c r="AD204" s="10">
        <v>9.3799706252183253</v>
      </c>
      <c r="AE204" s="10">
        <v>0.18942207703084918</v>
      </c>
      <c r="AF204" s="10">
        <v>8.5688858037390667E-3</v>
      </c>
      <c r="AG204" s="11">
        <v>19.914932155278724</v>
      </c>
      <c r="AH204" s="11">
        <v>0.64316086428552977</v>
      </c>
      <c r="AI204" s="11">
        <v>1.2055320588718723</v>
      </c>
      <c r="AJ204" s="11">
        <v>0.11851726648119255</v>
      </c>
      <c r="AK204" s="11">
        <v>0.53751424253519153</v>
      </c>
      <c r="AL204" s="11">
        <v>0.10430120368309662</v>
      </c>
      <c r="AM204" s="11">
        <v>2.4604988441179854E-2</v>
      </c>
      <c r="AN204" s="11">
        <v>0.10534925608208041</v>
      </c>
      <c r="AO204" s="11">
        <v>1.6570966844694394E-2</v>
      </c>
      <c r="AP204" s="11">
        <v>0.11563427477440154</v>
      </c>
      <c r="AQ204" s="11">
        <v>2.333184677898963E-2</v>
      </c>
      <c r="AR204" s="11">
        <v>7.1102160066967679E-2</v>
      </c>
      <c r="AS204" s="11">
        <v>1.114238773266943E-2</v>
      </c>
      <c r="AT204" s="11">
        <v>6.4374557024595588E-2</v>
      </c>
      <c r="AU204" s="11">
        <v>9.8010379955650682E-3</v>
      </c>
      <c r="AV204" s="10">
        <v>0.41886957677389086</v>
      </c>
      <c r="AW204" s="10" t="s">
        <v>114</v>
      </c>
      <c r="AX204" s="10" t="s">
        <v>114</v>
      </c>
      <c r="AY204" s="10" t="s">
        <v>114</v>
      </c>
      <c r="AZ204" s="10">
        <v>14.227127786508866</v>
      </c>
      <c r="BA204" s="10">
        <v>12.71801870464259</v>
      </c>
      <c r="BB204" s="11">
        <v>13.391425525750085</v>
      </c>
      <c r="BC204" s="11" t="s">
        <v>114</v>
      </c>
      <c r="BD204" s="11">
        <v>1.3474229018111539</v>
      </c>
    </row>
    <row r="205" spans="1:56" x14ac:dyDescent="0.3">
      <c r="A205" t="s">
        <v>316</v>
      </c>
      <c r="B205" t="s">
        <v>60</v>
      </c>
      <c r="C205" s="10">
        <v>13508.581202286356</v>
      </c>
      <c r="D205" s="11">
        <v>3891.5679630750933</v>
      </c>
      <c r="E205" s="10">
        <v>500.91312718561358</v>
      </c>
      <c r="F205" s="10">
        <v>206269.36340476351</v>
      </c>
      <c r="G205" s="10">
        <v>376.49941102722954</v>
      </c>
      <c r="H205" s="10">
        <v>488675.30016218999</v>
      </c>
      <c r="I205" s="11">
        <v>469388.70717060234</v>
      </c>
      <c r="J205" s="10">
        <v>214.84334260666114</v>
      </c>
      <c r="K205" s="11">
        <v>3.4907486015194791</v>
      </c>
      <c r="L205" s="11">
        <v>6.5169966624649218</v>
      </c>
      <c r="M205" s="11">
        <v>108.43211266145771</v>
      </c>
      <c r="N205" s="11">
        <v>499.02399465598995</v>
      </c>
      <c r="O205" s="10">
        <v>509.96455599294137</v>
      </c>
      <c r="P205" s="10">
        <v>2.2073427734903572</v>
      </c>
      <c r="Q205" s="11">
        <v>21.678666155856</v>
      </c>
      <c r="R205" s="11">
        <v>54.880158652415417</v>
      </c>
      <c r="S205" s="10">
        <v>54.968239730811668</v>
      </c>
      <c r="T205" s="11">
        <v>316.95380769980738</v>
      </c>
      <c r="U205" s="10">
        <v>292.49066302957283</v>
      </c>
      <c r="V205" s="10">
        <v>1.1234784801596234</v>
      </c>
      <c r="W205" s="10" t="s">
        <v>114</v>
      </c>
      <c r="X205" s="10">
        <v>0.61093361760476506</v>
      </c>
      <c r="Y205" s="11">
        <v>477.56917846411824</v>
      </c>
      <c r="Z205" s="10">
        <v>13.01657964445412</v>
      </c>
      <c r="AA205" s="10" t="s">
        <v>114</v>
      </c>
      <c r="AB205" s="10" t="s">
        <v>114</v>
      </c>
      <c r="AC205" s="10">
        <v>4.2534600874298851</v>
      </c>
      <c r="AD205" s="10">
        <v>9.4019229477292203</v>
      </c>
      <c r="AE205" s="10">
        <v>0.16191953054688918</v>
      </c>
      <c r="AF205" s="10">
        <v>1.1000176069116388E-2</v>
      </c>
      <c r="AG205" s="11">
        <v>51.252658817414336</v>
      </c>
      <c r="AH205" s="11">
        <v>0.45577905049559286</v>
      </c>
      <c r="AI205" s="11">
        <v>0.94537852905834208</v>
      </c>
      <c r="AJ205" s="11">
        <v>0.10857240573874238</v>
      </c>
      <c r="AK205" s="11">
        <v>0.45353681449911071</v>
      </c>
      <c r="AL205" s="11">
        <v>9.4861505413348243E-2</v>
      </c>
      <c r="AM205" s="11">
        <v>2.3753965869256821E-2</v>
      </c>
      <c r="AN205" s="11">
        <v>9.5527053371597198E-2</v>
      </c>
      <c r="AO205" s="11">
        <v>1.4544650921593105E-2</v>
      </c>
      <c r="AP205" s="11">
        <v>6.6206425264016586E-2</v>
      </c>
      <c r="AQ205" s="11">
        <v>1.1431992152275141E-2</v>
      </c>
      <c r="AR205" s="11">
        <v>3.0906192140301953E-2</v>
      </c>
      <c r="AS205" s="11">
        <v>4.9336543666217156E-3</v>
      </c>
      <c r="AT205" s="11">
        <v>2.5437422157428613E-2</v>
      </c>
      <c r="AU205" s="11">
        <v>4.3534050682600091E-3</v>
      </c>
      <c r="AV205" s="10">
        <v>0.35396179426956181</v>
      </c>
      <c r="AW205" s="10" t="s">
        <v>114</v>
      </c>
      <c r="AX205" s="10" t="s">
        <v>114</v>
      </c>
      <c r="AY205" s="10" t="s">
        <v>114</v>
      </c>
      <c r="AZ205" s="10">
        <v>2.5985976554538417</v>
      </c>
      <c r="BA205" s="10">
        <v>2.3772490205891494</v>
      </c>
      <c r="BB205" s="11">
        <v>2.4606333782140277</v>
      </c>
      <c r="BC205" s="11" t="s">
        <v>114</v>
      </c>
      <c r="BD205" s="11">
        <v>0.26142584903309773</v>
      </c>
    </row>
    <row r="206" spans="1:56" x14ac:dyDescent="0.3">
      <c r="A206" t="s">
        <v>317</v>
      </c>
      <c r="B206" t="s">
        <v>60</v>
      </c>
      <c r="C206" s="10">
        <v>11068.263826543371</v>
      </c>
      <c r="D206" s="11">
        <v>2132.1922784889011</v>
      </c>
      <c r="E206" s="10">
        <v>547.73663098845429</v>
      </c>
      <c r="F206" s="10">
        <v>130557.63964622015</v>
      </c>
      <c r="G206" s="10">
        <v>328.29924389082498</v>
      </c>
      <c r="H206" s="10">
        <v>295472.77327491296</v>
      </c>
      <c r="I206" s="11">
        <v>284871.88525244268</v>
      </c>
      <c r="J206" s="10">
        <v>176.89265477085095</v>
      </c>
      <c r="K206" s="11">
        <v>1.3743414257523887</v>
      </c>
      <c r="L206" s="11">
        <v>3.3774272651390538</v>
      </c>
      <c r="M206" s="11">
        <v>13.302568145832556</v>
      </c>
      <c r="N206" s="11">
        <v>280.01415664505612</v>
      </c>
      <c r="O206" s="10">
        <v>285.05052123237851</v>
      </c>
      <c r="P206" s="10">
        <v>0.4141968918087558</v>
      </c>
      <c r="Q206" s="11">
        <v>7.4263203281447439</v>
      </c>
      <c r="R206" s="11">
        <v>55.044018715585899</v>
      </c>
      <c r="S206" s="10">
        <v>54.234990904326658</v>
      </c>
      <c r="T206" s="11">
        <v>373.40616071010493</v>
      </c>
      <c r="U206" s="10">
        <v>341.72708443676498</v>
      </c>
      <c r="V206" s="10">
        <v>0.47424377227572245</v>
      </c>
      <c r="W206" s="10" t="s">
        <v>114</v>
      </c>
      <c r="X206" s="10">
        <v>0.57968550728881407</v>
      </c>
      <c r="Y206" s="11">
        <v>213.71233012959428</v>
      </c>
      <c r="Z206" s="10">
        <v>14.067231856942252</v>
      </c>
      <c r="AA206" s="10" t="s">
        <v>114</v>
      </c>
      <c r="AB206" s="10" t="s">
        <v>114</v>
      </c>
      <c r="AC206" s="10">
        <v>4.2982080130686038</v>
      </c>
      <c r="AD206" s="10">
        <v>8.925618892971773</v>
      </c>
      <c r="AE206" s="10">
        <v>0.13214325004037303</v>
      </c>
      <c r="AF206" s="10">
        <v>1.0598788888752264E-2</v>
      </c>
      <c r="AG206" s="11">
        <v>24.927211190916232</v>
      </c>
      <c r="AH206" s="11">
        <v>0.29761917749976219</v>
      </c>
      <c r="AI206" s="11">
        <v>0.54565083902552158</v>
      </c>
      <c r="AJ206" s="11">
        <v>6.467974546857054E-2</v>
      </c>
      <c r="AK206" s="11">
        <v>0.27782162327814863</v>
      </c>
      <c r="AL206" s="11">
        <v>6.3222739869571748E-2</v>
      </c>
      <c r="AM206" s="11">
        <v>1.6905221243469468E-2</v>
      </c>
      <c r="AN206" s="11">
        <v>5.2740531301609779E-2</v>
      </c>
      <c r="AO206" s="11">
        <v>7.9904078398170646E-3</v>
      </c>
      <c r="AP206" s="11">
        <v>4.4756235736924992E-2</v>
      </c>
      <c r="AQ206" s="11">
        <v>7.2674599803921854E-3</v>
      </c>
      <c r="AR206" s="11">
        <v>2.2626942134366682E-2</v>
      </c>
      <c r="AS206" s="11">
        <v>3.452892990553368E-3</v>
      </c>
      <c r="AT206" s="11">
        <v>1.904359962749777E-2</v>
      </c>
      <c r="AU206" s="11">
        <v>3.4497179108511607E-3</v>
      </c>
      <c r="AV206" s="10">
        <v>0.36714089244352388</v>
      </c>
      <c r="AW206" s="10" t="s">
        <v>114</v>
      </c>
      <c r="AX206" s="10" t="s">
        <v>114</v>
      </c>
      <c r="AY206" s="10" t="s">
        <v>114</v>
      </c>
      <c r="AZ206" s="10">
        <v>2.3301156022076737</v>
      </c>
      <c r="BA206" s="10">
        <v>2.098606492074365</v>
      </c>
      <c r="BB206" s="11">
        <v>2.2065210658151395</v>
      </c>
      <c r="BC206" s="11" t="s">
        <v>114</v>
      </c>
      <c r="BD206" s="11">
        <v>0.10424699760983998</v>
      </c>
    </row>
    <row r="207" spans="1:56" x14ac:dyDescent="0.3">
      <c r="A207" t="s">
        <v>318</v>
      </c>
      <c r="B207" t="s">
        <v>60</v>
      </c>
      <c r="C207" s="10">
        <v>12580.994318540661</v>
      </c>
      <c r="D207" s="11">
        <v>2751.9144707746118</v>
      </c>
      <c r="E207" s="10">
        <v>380.70565460435654</v>
      </c>
      <c r="F207" s="10">
        <v>151010.53040314896</v>
      </c>
      <c r="G207" s="10">
        <v>342.46921209070842</v>
      </c>
      <c r="H207" s="10">
        <v>340608.48387004505</v>
      </c>
      <c r="I207" s="11">
        <v>328255.26234451064</v>
      </c>
      <c r="J207" s="10">
        <v>165.68202985033042</v>
      </c>
      <c r="K207" s="11">
        <v>1.8637801352988252</v>
      </c>
      <c r="L207" s="11">
        <v>2.5347800888226013</v>
      </c>
      <c r="M207" s="11">
        <v>15.164112457407869</v>
      </c>
      <c r="N207" s="11">
        <v>158.60284212480181</v>
      </c>
      <c r="O207" s="10">
        <v>169.11205542951012</v>
      </c>
      <c r="P207" s="10">
        <v>0.46056179623319782</v>
      </c>
      <c r="Q207" s="11">
        <v>17.513677543182272</v>
      </c>
      <c r="R207" s="11">
        <v>55.080509786164704</v>
      </c>
      <c r="S207" s="10">
        <v>55.26500355274392</v>
      </c>
      <c r="T207" s="11">
        <v>297.29887254775679</v>
      </c>
      <c r="U207" s="10">
        <v>270.33930027758851</v>
      </c>
      <c r="V207" s="10">
        <v>0.82628538559753206</v>
      </c>
      <c r="W207" s="10" t="s">
        <v>114</v>
      </c>
      <c r="X207" s="10">
        <v>0.64341497343634835</v>
      </c>
      <c r="Y207" s="11">
        <v>315.02830300908738</v>
      </c>
      <c r="Z207" s="10">
        <v>13.799710349028389</v>
      </c>
      <c r="AA207" s="10" t="s">
        <v>114</v>
      </c>
      <c r="AB207" s="10" t="s">
        <v>114</v>
      </c>
      <c r="AC207" s="10">
        <v>3.3978782248663069</v>
      </c>
      <c r="AD207" s="10">
        <v>8.8851896003963624</v>
      </c>
      <c r="AE207" s="10">
        <v>0.14354834698480545</v>
      </c>
      <c r="AF207" s="10">
        <v>8.4546339459852116E-3</v>
      </c>
      <c r="AG207" s="11">
        <v>30.636310851535459</v>
      </c>
      <c r="AH207" s="11">
        <v>0.2466242475228054</v>
      </c>
      <c r="AI207" s="11">
        <v>0.43468873267065472</v>
      </c>
      <c r="AJ207" s="11">
        <v>4.5885783103822617E-2</v>
      </c>
      <c r="AK207" s="11">
        <v>0.20863775919248775</v>
      </c>
      <c r="AL207" s="11">
        <v>4.8294569974984783E-2</v>
      </c>
      <c r="AM207" s="11">
        <v>1.2293931725611822E-2</v>
      </c>
      <c r="AN207" s="11">
        <v>3.6999612074737301E-2</v>
      </c>
      <c r="AO207" s="11">
        <v>7.9773759609508138E-3</v>
      </c>
      <c r="AP207" s="11">
        <v>3.2630205574491852E-2</v>
      </c>
      <c r="AQ207" s="11">
        <v>8.3497504035649588E-3</v>
      </c>
      <c r="AR207" s="11">
        <v>2.1014240270196851E-2</v>
      </c>
      <c r="AS207" s="11" t="s">
        <v>114</v>
      </c>
      <c r="AT207" s="11">
        <v>1.8990918247709068E-2</v>
      </c>
      <c r="AU207" s="11">
        <v>1.8922066383524731E-3</v>
      </c>
      <c r="AV207" s="10">
        <v>0.36324913119568675</v>
      </c>
      <c r="AW207" s="10" t="s">
        <v>114</v>
      </c>
      <c r="AX207" s="10" t="s">
        <v>114</v>
      </c>
      <c r="AY207" s="10" t="s">
        <v>114</v>
      </c>
      <c r="AZ207" s="10">
        <v>1.8498040575471533</v>
      </c>
      <c r="BA207" s="10">
        <v>1.6869052702207414</v>
      </c>
      <c r="BB207" s="11">
        <v>1.7445240050956758</v>
      </c>
      <c r="BC207" s="11" t="s">
        <v>114</v>
      </c>
      <c r="BD207" s="11">
        <v>0.11375320325203174</v>
      </c>
    </row>
    <row r="208" spans="1:56" x14ac:dyDescent="0.3">
      <c r="A208" t="s">
        <v>319</v>
      </c>
      <c r="B208" t="s">
        <v>60</v>
      </c>
      <c r="C208" s="10">
        <v>12831.772658946033</v>
      </c>
      <c r="D208" s="11">
        <v>2935.2931895214992</v>
      </c>
      <c r="E208" s="10">
        <v>375.6364393611459</v>
      </c>
      <c r="F208" s="10">
        <v>177130.25403563166</v>
      </c>
      <c r="G208" s="10">
        <v>318.77060948959212</v>
      </c>
      <c r="H208" s="10">
        <v>411900.64717928029</v>
      </c>
      <c r="I208" s="11">
        <v>396296.35578213737</v>
      </c>
      <c r="J208" s="10">
        <v>38.951496958846178</v>
      </c>
      <c r="K208" s="11">
        <v>2.5325245411101656</v>
      </c>
      <c r="L208" s="11">
        <v>2.4115850454033168</v>
      </c>
      <c r="M208" s="11">
        <v>30.4465228326548</v>
      </c>
      <c r="N208" s="11">
        <v>144.31182197973078</v>
      </c>
      <c r="O208" s="10">
        <v>165.71618705694229</v>
      </c>
      <c r="P208" s="10">
        <v>0.62609239686040852</v>
      </c>
      <c r="Q208" s="11">
        <v>7.1290790130516983</v>
      </c>
      <c r="R208" s="11">
        <v>49.07109314257152</v>
      </c>
      <c r="S208" s="10">
        <v>48.439407135838145</v>
      </c>
      <c r="T208" s="11">
        <v>187.6688598021745</v>
      </c>
      <c r="U208" s="10">
        <v>176.07453663967959</v>
      </c>
      <c r="V208" s="10">
        <v>1.0485582318446456</v>
      </c>
      <c r="W208" s="10" t="s">
        <v>114</v>
      </c>
      <c r="X208" s="10">
        <v>0.53192921530635151</v>
      </c>
      <c r="Y208" s="11">
        <v>379.71443298640878</v>
      </c>
      <c r="Z208" s="10">
        <v>12.642298363936607</v>
      </c>
      <c r="AA208" s="10" t="s">
        <v>114</v>
      </c>
      <c r="AB208" s="10" t="s">
        <v>114</v>
      </c>
      <c r="AC208" s="10">
        <v>3.4274631916574925</v>
      </c>
      <c r="AD208" s="10">
        <v>8.4853306670450497</v>
      </c>
      <c r="AE208" s="10">
        <v>0.13425309594006665</v>
      </c>
      <c r="AF208" s="10">
        <v>8.9096172785677781E-3</v>
      </c>
      <c r="AG208" s="11">
        <v>34.171976151743543</v>
      </c>
      <c r="AH208" s="11">
        <v>0.22971319570303386</v>
      </c>
      <c r="AI208" s="11">
        <v>0.43425372552674379</v>
      </c>
      <c r="AJ208" s="11">
        <v>4.7483596132160424E-2</v>
      </c>
      <c r="AK208" s="11">
        <v>0.18141646350634211</v>
      </c>
      <c r="AL208" s="11">
        <v>4.1538816431620371E-2</v>
      </c>
      <c r="AM208" s="11">
        <v>8.3810093712727799E-3</v>
      </c>
      <c r="AN208" s="11">
        <v>3.3148094162750816E-2</v>
      </c>
      <c r="AO208" s="11">
        <v>6.0414525843689882E-3</v>
      </c>
      <c r="AP208" s="11">
        <v>2.5484974518420821E-2</v>
      </c>
      <c r="AQ208" s="11">
        <v>4.5925479274660091E-3</v>
      </c>
      <c r="AR208" s="11">
        <v>1.5498676554603361E-2</v>
      </c>
      <c r="AS208" s="11" t="s">
        <v>114</v>
      </c>
      <c r="AT208" s="11">
        <v>1.0769960774255828E-2</v>
      </c>
      <c r="AU208" s="11" t="s">
        <v>114</v>
      </c>
      <c r="AV208" s="10">
        <v>0.32172483364876775</v>
      </c>
      <c r="AW208" s="10" t="s">
        <v>114</v>
      </c>
      <c r="AX208" s="10" t="s">
        <v>114</v>
      </c>
      <c r="AY208" s="10" t="s">
        <v>114</v>
      </c>
      <c r="AZ208" s="10">
        <v>1.0188337873055691</v>
      </c>
      <c r="BA208" s="10">
        <v>0.92170185160676854</v>
      </c>
      <c r="BB208" s="11">
        <v>0.96211701203043209</v>
      </c>
      <c r="BC208" s="11" t="s">
        <v>114</v>
      </c>
      <c r="BD208" s="11">
        <v>0.3187918310798224</v>
      </c>
    </row>
    <row r="209" spans="1:56" x14ac:dyDescent="0.3">
      <c r="A209" t="s">
        <v>320</v>
      </c>
      <c r="B209" t="s">
        <v>60</v>
      </c>
      <c r="C209" s="10">
        <v>25493.549507491414</v>
      </c>
      <c r="D209" s="11">
        <v>2149.7755170802898</v>
      </c>
      <c r="E209" s="10">
        <v>66.623420233664703</v>
      </c>
      <c r="F209" s="10">
        <v>119870.50893790291</v>
      </c>
      <c r="G209" s="10">
        <v>288.65762494876054</v>
      </c>
      <c r="H209" s="10">
        <v>263519.21542271675</v>
      </c>
      <c r="I209" s="11">
        <v>255332.37711389182</v>
      </c>
      <c r="J209" s="10">
        <v>9.1126668174025713</v>
      </c>
      <c r="K209" s="11">
        <v>1.3579431669988613</v>
      </c>
      <c r="L209" s="11">
        <v>1.7194618542886921</v>
      </c>
      <c r="M209" s="11">
        <v>9.9423157876138184</v>
      </c>
      <c r="N209" s="11">
        <v>115.83960042958812</v>
      </c>
      <c r="O209" s="10">
        <v>121.86011299172218</v>
      </c>
      <c r="P209" s="10">
        <v>0.2745927478299639</v>
      </c>
      <c r="Q209" s="11">
        <v>5.9500849065220551</v>
      </c>
      <c r="R209" s="11">
        <v>97.497586473994318</v>
      </c>
      <c r="S209" s="10">
        <v>97.66135279575829</v>
      </c>
      <c r="T209" s="11">
        <v>148.96283085787266</v>
      </c>
      <c r="U209" s="10">
        <v>139.61271718139571</v>
      </c>
      <c r="V209" s="10">
        <v>0.51650638338960575</v>
      </c>
      <c r="W209" s="10" t="s">
        <v>114</v>
      </c>
      <c r="X209" s="10">
        <v>0.42021814747138658</v>
      </c>
      <c r="Y209" s="11">
        <v>246.78039816549705</v>
      </c>
      <c r="Z209" s="10">
        <v>0.87882138685105604</v>
      </c>
      <c r="AA209" s="10" t="s">
        <v>114</v>
      </c>
      <c r="AB209" s="10" t="s">
        <v>114</v>
      </c>
      <c r="AC209" s="10">
        <v>7.8581650875706686</v>
      </c>
      <c r="AD209" s="10">
        <v>9.0142567493558641</v>
      </c>
      <c r="AE209" s="10">
        <v>0.17558836939640329</v>
      </c>
      <c r="AF209" s="10">
        <v>6.6815528122063086E-3</v>
      </c>
      <c r="AG209" s="11">
        <v>36.050629353832406</v>
      </c>
      <c r="AH209" s="11">
        <v>0.14675980576310874</v>
      </c>
      <c r="AI209" s="11">
        <v>0.29645115528517429</v>
      </c>
      <c r="AJ209" s="11">
        <v>3.0036178192193098E-2</v>
      </c>
      <c r="AK209" s="11">
        <v>0.12024943802613315</v>
      </c>
      <c r="AL209" s="11">
        <v>2.1678542521073679E-2</v>
      </c>
      <c r="AM209" s="11">
        <v>5.7968964652512847E-3</v>
      </c>
      <c r="AN209" s="11">
        <v>2.0849034386510947E-2</v>
      </c>
      <c r="AO209" s="11">
        <v>3.7109088834262781E-3</v>
      </c>
      <c r="AP209" s="11">
        <v>2.1232239086426023E-2</v>
      </c>
      <c r="AQ209" s="11" t="s">
        <v>114</v>
      </c>
      <c r="AR209" s="11">
        <v>9.9188749338288539E-3</v>
      </c>
      <c r="AS209" s="11" t="s">
        <v>114</v>
      </c>
      <c r="AT209" s="11">
        <v>7.10892579313868E-3</v>
      </c>
      <c r="AU209" s="11" t="s">
        <v>114</v>
      </c>
      <c r="AV209" s="10" t="s">
        <v>114</v>
      </c>
      <c r="AW209" s="10" t="s">
        <v>114</v>
      </c>
      <c r="AX209" s="10" t="s">
        <v>114</v>
      </c>
      <c r="AY209" s="10" t="s">
        <v>114</v>
      </c>
      <c r="AZ209" s="10">
        <v>1.2045625555563226</v>
      </c>
      <c r="BA209" s="10">
        <v>1.1219230491864545</v>
      </c>
      <c r="BB209" s="11">
        <v>1.1344168621477932</v>
      </c>
      <c r="BC209" s="11" t="s">
        <v>114</v>
      </c>
      <c r="BD209" s="11">
        <v>0.13196985831907682</v>
      </c>
    </row>
    <row r="210" spans="1:56" x14ac:dyDescent="0.3">
      <c r="A210" t="s">
        <v>321</v>
      </c>
      <c r="B210" t="s">
        <v>60</v>
      </c>
      <c r="C210" s="10">
        <v>25096.256297977448</v>
      </c>
      <c r="D210" s="11">
        <v>3293.1364733410724</v>
      </c>
      <c r="E210" s="10">
        <v>129.86671131156191</v>
      </c>
      <c r="F210" s="10">
        <v>166057.83758808865</v>
      </c>
      <c r="G210" s="10">
        <v>323.48288803851807</v>
      </c>
      <c r="H210" s="10">
        <v>364272.22792935773</v>
      </c>
      <c r="I210" s="11">
        <v>352370.59971150151</v>
      </c>
      <c r="J210" s="10">
        <v>80.937447530487518</v>
      </c>
      <c r="K210" s="11">
        <v>1.5207591789166464</v>
      </c>
      <c r="L210" s="11">
        <v>1.8049469358772685</v>
      </c>
      <c r="M210" s="11">
        <v>6.0882783509292349</v>
      </c>
      <c r="N210" s="11">
        <v>134.12679635233346</v>
      </c>
      <c r="O210" s="10">
        <v>156.17160472428526</v>
      </c>
      <c r="P210" s="10">
        <v>0.49442237036797249</v>
      </c>
      <c r="Q210" s="11">
        <v>14.234062152540995</v>
      </c>
      <c r="R210" s="11">
        <v>90.77731102573749</v>
      </c>
      <c r="S210" s="10">
        <v>91.970680283111193</v>
      </c>
      <c r="T210" s="11">
        <v>143.71503387691669</v>
      </c>
      <c r="U210" s="10">
        <v>134.77288339162041</v>
      </c>
      <c r="V210" s="10">
        <v>0.79895107018911937</v>
      </c>
      <c r="W210" s="10" t="s">
        <v>114</v>
      </c>
      <c r="X210" s="10">
        <v>0.40828299901666987</v>
      </c>
      <c r="Y210" s="11">
        <v>266.80429872042765</v>
      </c>
      <c r="Z210" s="10">
        <v>2.8727733728669866</v>
      </c>
      <c r="AA210" s="10" t="s">
        <v>114</v>
      </c>
      <c r="AB210" s="10" t="s">
        <v>114</v>
      </c>
      <c r="AC210" s="10">
        <v>10.021387530208754</v>
      </c>
      <c r="AD210" s="10">
        <v>8.5814186016321301</v>
      </c>
      <c r="AE210" s="10">
        <v>0.1339573350526739</v>
      </c>
      <c r="AF210" s="10">
        <v>8.0710123672619212E-3</v>
      </c>
      <c r="AG210" s="11">
        <v>40.434399683937315</v>
      </c>
      <c r="AH210" s="11">
        <v>0.36901691840221024</v>
      </c>
      <c r="AI210" s="11">
        <v>0.77756367273406757</v>
      </c>
      <c r="AJ210" s="11">
        <v>6.7980849606692609E-2</v>
      </c>
      <c r="AK210" s="11">
        <v>0.30053001939585672</v>
      </c>
      <c r="AL210" s="11">
        <v>5.313565139585745E-2</v>
      </c>
      <c r="AM210" s="11">
        <v>1.0543921889699119E-2</v>
      </c>
      <c r="AN210" s="11">
        <v>5.6872999666114941E-2</v>
      </c>
      <c r="AO210" s="11">
        <v>7.6987813650135298E-3</v>
      </c>
      <c r="AP210" s="11">
        <v>4.1336841269815822E-2</v>
      </c>
      <c r="AQ210" s="11">
        <v>6.799305262246421E-3</v>
      </c>
      <c r="AR210" s="11">
        <v>1.8703873401210359E-2</v>
      </c>
      <c r="AS210" s="11">
        <v>2.3423137370058127E-3</v>
      </c>
      <c r="AT210" s="11">
        <v>1.4900553120984707E-2</v>
      </c>
      <c r="AU210" s="11">
        <v>2.3824841174657349E-3</v>
      </c>
      <c r="AV210" s="10">
        <v>0.58573127765020983</v>
      </c>
      <c r="AW210" s="10" t="s">
        <v>114</v>
      </c>
      <c r="AX210" s="10" t="s">
        <v>114</v>
      </c>
      <c r="AY210" s="10" t="s">
        <v>114</v>
      </c>
      <c r="AZ210" s="10">
        <v>1.3972882772153652</v>
      </c>
      <c r="BA210" s="10">
        <v>1.2945739633156499</v>
      </c>
      <c r="BB210" s="11">
        <v>1.3305292018871238</v>
      </c>
      <c r="BC210" s="11">
        <v>0.67691061388927076</v>
      </c>
      <c r="BD210" s="11">
        <v>0.29233307953101523</v>
      </c>
    </row>
    <row r="211" spans="1:56" x14ac:dyDescent="0.3">
      <c r="A211" t="s">
        <v>322</v>
      </c>
      <c r="B211" t="s">
        <v>60</v>
      </c>
      <c r="C211" s="10">
        <v>13222.144801925973</v>
      </c>
      <c r="D211" s="11">
        <v>3517.7040175563179</v>
      </c>
      <c r="E211" s="10">
        <v>460.99377214824858</v>
      </c>
      <c r="F211" s="10">
        <v>174886.3269840733</v>
      </c>
      <c r="G211" s="10">
        <v>340.37730158829595</v>
      </c>
      <c r="H211" s="10">
        <v>402435.23851820763</v>
      </c>
      <c r="I211" s="11">
        <v>386448.05369990581</v>
      </c>
      <c r="J211" s="10">
        <v>218.33124401328732</v>
      </c>
      <c r="K211" s="11">
        <v>2.2197357354735692</v>
      </c>
      <c r="L211" s="11">
        <v>2.9573690272240234</v>
      </c>
      <c r="M211" s="11">
        <v>6.5617429080576031</v>
      </c>
      <c r="N211" s="11">
        <v>190.36095614232258</v>
      </c>
      <c r="O211" s="10">
        <v>207.36118989577724</v>
      </c>
      <c r="P211" s="10">
        <v>0.19923184178740971</v>
      </c>
      <c r="Q211" s="11">
        <v>5.3627734343366464</v>
      </c>
      <c r="R211" s="11">
        <v>56.981409439480345</v>
      </c>
      <c r="S211" s="10">
        <v>56.886109273008856</v>
      </c>
      <c r="T211" s="11">
        <v>270.80244937759977</v>
      </c>
      <c r="U211" s="10">
        <v>253.35423823401501</v>
      </c>
      <c r="V211" s="10">
        <v>0.53527314919999391</v>
      </c>
      <c r="W211" s="10" t="s">
        <v>114</v>
      </c>
      <c r="X211" s="10">
        <v>0.62341202339705226</v>
      </c>
      <c r="Y211" s="11">
        <v>310.58812788132064</v>
      </c>
      <c r="Z211" s="10">
        <v>15.499116863057182</v>
      </c>
      <c r="AA211" s="10" t="s">
        <v>114</v>
      </c>
      <c r="AB211" s="10" t="s">
        <v>114</v>
      </c>
      <c r="AC211" s="10">
        <v>13.83069165034089</v>
      </c>
      <c r="AD211" s="10">
        <v>9.3768871635878916</v>
      </c>
      <c r="AE211" s="10">
        <v>0.14812745048819248</v>
      </c>
      <c r="AF211" s="10">
        <v>1.104329998959537E-2</v>
      </c>
      <c r="AG211" s="11">
        <v>34.530989353799718</v>
      </c>
      <c r="AH211" s="11">
        <v>0.3630375893709798</v>
      </c>
      <c r="AI211" s="11">
        <v>0.59398253927617739</v>
      </c>
      <c r="AJ211" s="11">
        <v>6.4752283859609239E-2</v>
      </c>
      <c r="AK211" s="11">
        <v>0.28686692570863526</v>
      </c>
      <c r="AL211" s="11">
        <v>5.3136616865509537E-2</v>
      </c>
      <c r="AM211" s="11">
        <v>1.3892029297441188E-2</v>
      </c>
      <c r="AN211" s="11">
        <v>5.0118664621385943E-2</v>
      </c>
      <c r="AO211" s="11">
        <v>7.9654532703225915E-3</v>
      </c>
      <c r="AP211" s="11">
        <v>3.9298823099291023E-2</v>
      </c>
      <c r="AQ211" s="11">
        <v>9.2282250856925482E-3</v>
      </c>
      <c r="AR211" s="11">
        <v>2.7084736693398954E-2</v>
      </c>
      <c r="AS211" s="11">
        <v>4.5497549932050109E-3</v>
      </c>
      <c r="AT211" s="11">
        <v>2.5832556852980731E-2</v>
      </c>
      <c r="AU211" s="11">
        <v>4.3980553741079856E-3</v>
      </c>
      <c r="AV211" s="10">
        <v>0.68384053128199407</v>
      </c>
      <c r="AW211" s="10" t="s">
        <v>114</v>
      </c>
      <c r="AX211" s="10" t="s">
        <v>114</v>
      </c>
      <c r="AY211" s="10" t="s">
        <v>114</v>
      </c>
      <c r="AZ211" s="10">
        <v>1.8986772845526985</v>
      </c>
      <c r="BA211" s="10">
        <v>1.7428853704075018</v>
      </c>
      <c r="BB211" s="11">
        <v>1.7874469263575852</v>
      </c>
      <c r="BC211" s="11">
        <v>0.30911288924849462</v>
      </c>
      <c r="BD211" s="11">
        <v>0.65463883845629411</v>
      </c>
    </row>
    <row r="212" spans="1:56" x14ac:dyDescent="0.3">
      <c r="A212" t="s">
        <v>323</v>
      </c>
      <c r="B212" t="s">
        <v>60</v>
      </c>
      <c r="C212" s="10">
        <v>11552.969868664632</v>
      </c>
      <c r="D212" s="11">
        <v>2955.8016906071848</v>
      </c>
      <c r="E212" s="10">
        <v>510.42141338517484</v>
      </c>
      <c r="F212" s="10">
        <v>138920.25624735781</v>
      </c>
      <c r="G212" s="10">
        <v>383.54011588703918</v>
      </c>
      <c r="H212" s="10">
        <v>316397.31734980125</v>
      </c>
      <c r="I212" s="11">
        <v>303884.47355604306</v>
      </c>
      <c r="J212" s="10">
        <v>308.12262678216524</v>
      </c>
      <c r="K212" s="11">
        <v>2.8159281256228295</v>
      </c>
      <c r="L212" s="11">
        <v>3.9181370201218217</v>
      </c>
      <c r="M212" s="11">
        <v>8.5657597326591741</v>
      </c>
      <c r="N212" s="11">
        <v>264.79551289307147</v>
      </c>
      <c r="O212" s="10">
        <v>273.10179147351681</v>
      </c>
      <c r="P212" s="10">
        <v>0.44595060606263281</v>
      </c>
      <c r="Q212" s="11">
        <v>249.65485571622409</v>
      </c>
      <c r="R212" s="11">
        <v>51.584607093351281</v>
      </c>
      <c r="S212" s="10">
        <v>51.686747559161056</v>
      </c>
      <c r="T212" s="11">
        <v>256.66106039849728</v>
      </c>
      <c r="U212" s="10">
        <v>238.7767501051483</v>
      </c>
      <c r="V212" s="10">
        <v>1.2419729214999971</v>
      </c>
      <c r="W212" s="10" t="s">
        <v>114</v>
      </c>
      <c r="X212" s="10">
        <v>0.66008617870094821</v>
      </c>
      <c r="Y212" s="11">
        <v>249.28205451187605</v>
      </c>
      <c r="Z212" s="10">
        <v>13.845235095714918</v>
      </c>
      <c r="AA212" s="10" t="s">
        <v>114</v>
      </c>
      <c r="AB212" s="10" t="s">
        <v>114</v>
      </c>
      <c r="AC212" s="10">
        <v>3.4903366370432649</v>
      </c>
      <c r="AD212" s="10">
        <v>8.6961756059602777</v>
      </c>
      <c r="AE212" s="10">
        <v>0.1457636968791903</v>
      </c>
      <c r="AF212" s="10">
        <v>1.7392983045015679E-2</v>
      </c>
      <c r="AG212" s="11">
        <v>40.768499983722634</v>
      </c>
      <c r="AH212" s="11">
        <v>0.4913288945427759</v>
      </c>
      <c r="AI212" s="11">
        <v>0.83168454916311663</v>
      </c>
      <c r="AJ212" s="11">
        <v>9.9032518773755698E-2</v>
      </c>
      <c r="AK212" s="11">
        <v>0.39957118813611403</v>
      </c>
      <c r="AL212" s="11">
        <v>7.6994806855046546E-2</v>
      </c>
      <c r="AM212" s="11">
        <v>2.14393165239221E-2</v>
      </c>
      <c r="AN212" s="11">
        <v>8.0378977900832552E-2</v>
      </c>
      <c r="AO212" s="11">
        <v>1.3501897042624259E-2</v>
      </c>
      <c r="AP212" s="11">
        <v>7.1236986497588306E-2</v>
      </c>
      <c r="AQ212" s="11">
        <v>1.50220127177136E-2</v>
      </c>
      <c r="AR212" s="11">
        <v>3.9676070302407593E-2</v>
      </c>
      <c r="AS212" s="11">
        <v>6.2861217105342334E-3</v>
      </c>
      <c r="AT212" s="11">
        <v>3.4326524969084372E-2</v>
      </c>
      <c r="AU212" s="11">
        <v>3.5583657465911378E-3</v>
      </c>
      <c r="AV212" s="10">
        <v>0.61132207225116764</v>
      </c>
      <c r="AW212" s="10" t="s">
        <v>114</v>
      </c>
      <c r="AX212" s="10" t="s">
        <v>114</v>
      </c>
      <c r="AY212" s="10" t="s">
        <v>114</v>
      </c>
      <c r="AZ212" s="10">
        <v>4.237550319755429</v>
      </c>
      <c r="BA212" s="10">
        <v>3.9255391352678441</v>
      </c>
      <c r="BB212" s="11">
        <v>4.0796649697605094</v>
      </c>
      <c r="BC212" s="11">
        <v>0.19798660895076467</v>
      </c>
      <c r="BD212" s="11">
        <v>0.88633742398713389</v>
      </c>
    </row>
    <row r="213" spans="1:56" x14ac:dyDescent="0.3">
      <c r="A213" t="s">
        <v>324</v>
      </c>
      <c r="B213" t="s">
        <v>60</v>
      </c>
      <c r="C213" s="10">
        <v>10732.767849122672</v>
      </c>
      <c r="D213" s="11">
        <v>2121.5712112209867</v>
      </c>
      <c r="E213" s="10">
        <v>451.25736128285439</v>
      </c>
      <c r="F213" s="10">
        <v>129897.64387113487</v>
      </c>
      <c r="G213" s="10">
        <v>360.85927413884485</v>
      </c>
      <c r="H213" s="10">
        <v>296585.5544281184</v>
      </c>
      <c r="I213" s="11">
        <v>286499.25901810842</v>
      </c>
      <c r="J213" s="10">
        <v>36.411235520872488</v>
      </c>
      <c r="K213" s="11">
        <v>0.99525123751191857</v>
      </c>
      <c r="L213" s="11">
        <v>2.1192862342330216</v>
      </c>
      <c r="M213" s="11">
        <v>5.8233466056531933</v>
      </c>
      <c r="N213" s="11">
        <v>119.67241696968085</v>
      </c>
      <c r="O213" s="10">
        <v>129.78332850204555</v>
      </c>
      <c r="P213" s="10">
        <v>0.21634657557560652</v>
      </c>
      <c r="Q213" s="11">
        <v>4.0598650090196209</v>
      </c>
      <c r="R213" s="11">
        <v>49.831484780777039</v>
      </c>
      <c r="S213" s="10">
        <v>49.92813271534186</v>
      </c>
      <c r="T213" s="11">
        <v>141.60299799416038</v>
      </c>
      <c r="U213" s="10">
        <v>132.8985567756838</v>
      </c>
      <c r="V213" s="10">
        <v>0.71085502809879719</v>
      </c>
      <c r="W213" s="10" t="s">
        <v>114</v>
      </c>
      <c r="X213" s="10">
        <v>0.61136250462738873</v>
      </c>
      <c r="Y213" s="11">
        <v>297.15418780423931</v>
      </c>
      <c r="Z213" s="10">
        <v>16.887405693651111</v>
      </c>
      <c r="AA213" s="10" t="s">
        <v>114</v>
      </c>
      <c r="AB213" s="10" t="s">
        <v>114</v>
      </c>
      <c r="AC213" s="10">
        <v>6.1813547329512587E-2</v>
      </c>
      <c r="AD213" s="10">
        <v>9.9370015361509747</v>
      </c>
      <c r="AE213" s="10">
        <v>0.13700946751370532</v>
      </c>
      <c r="AF213" s="10">
        <v>1.0086350437724635E-2</v>
      </c>
      <c r="AG213" s="11">
        <v>21.950379400702662</v>
      </c>
      <c r="AH213" s="11">
        <v>0.17670876992034715</v>
      </c>
      <c r="AI213" s="11">
        <v>0.31531238286574703</v>
      </c>
      <c r="AJ213" s="11">
        <v>3.2334698229555918E-2</v>
      </c>
      <c r="AK213" s="11">
        <v>0.12215485379942462</v>
      </c>
      <c r="AL213" s="11">
        <v>2.9925255762151267E-2</v>
      </c>
      <c r="AM213" s="11">
        <v>7.9608121786751002E-3</v>
      </c>
      <c r="AN213" s="11">
        <v>2.3277853616179171E-2</v>
      </c>
      <c r="AO213" s="11">
        <v>4.5039006696816625E-3</v>
      </c>
      <c r="AP213" s="11">
        <v>2.4615492842602157E-2</v>
      </c>
      <c r="AQ213" s="11" t="s">
        <v>114</v>
      </c>
      <c r="AR213" s="11">
        <v>1.0629243333275131E-2</v>
      </c>
      <c r="AS213" s="11" t="s">
        <v>114</v>
      </c>
      <c r="AT213" s="11">
        <v>1.8772050644792405E-2</v>
      </c>
      <c r="AU213" s="11">
        <v>3.5533654634675098E-3</v>
      </c>
      <c r="AV213" s="10">
        <v>0.56692653963210027</v>
      </c>
      <c r="AW213" s="10" t="s">
        <v>114</v>
      </c>
      <c r="AX213" s="10" t="s">
        <v>114</v>
      </c>
      <c r="AY213" s="10" t="s">
        <v>114</v>
      </c>
      <c r="AZ213" s="10">
        <v>1.1735435467547084</v>
      </c>
      <c r="BA213" s="10">
        <v>1.0354764162284595</v>
      </c>
      <c r="BB213" s="11">
        <v>1.1145916944740673</v>
      </c>
      <c r="BC213" s="11">
        <v>0.10447332864615576</v>
      </c>
      <c r="BD213" s="11">
        <v>0.54967437778978312</v>
      </c>
    </row>
    <row r="214" spans="1:56" x14ac:dyDescent="0.3">
      <c r="A214" t="s">
        <v>325</v>
      </c>
      <c r="B214" t="s">
        <v>60</v>
      </c>
      <c r="C214" s="10">
        <v>15222.706032453596</v>
      </c>
      <c r="D214" s="11">
        <v>3600.7054035919004</v>
      </c>
      <c r="E214" s="10">
        <v>537.53692535874984</v>
      </c>
      <c r="F214" s="10">
        <v>244082.88508289141</v>
      </c>
      <c r="G214" s="10">
        <v>425.62951912924359</v>
      </c>
      <c r="H214" s="10">
        <v>571263.16895303328</v>
      </c>
      <c r="I214" s="11">
        <v>550957.36168851214</v>
      </c>
      <c r="J214" s="10">
        <v>131.05030180143493</v>
      </c>
      <c r="K214" s="11">
        <v>1.4731005387291385</v>
      </c>
      <c r="L214" s="11">
        <v>3.0814034706530169</v>
      </c>
      <c r="M214" s="11">
        <v>8.8234152746967904</v>
      </c>
      <c r="N214" s="11">
        <v>241.67114405274506</v>
      </c>
      <c r="O214" s="10">
        <v>273.8862329964025</v>
      </c>
      <c r="P214" s="10">
        <v>0.27197180284286593</v>
      </c>
      <c r="Q214" s="11">
        <v>5.9783184260990794</v>
      </c>
      <c r="R214" s="11">
        <v>67.197639614419955</v>
      </c>
      <c r="S214" s="10">
        <v>66.916240377304504</v>
      </c>
      <c r="T214" s="11">
        <v>179.6384734936284</v>
      </c>
      <c r="U214" s="10">
        <v>171.15945910521634</v>
      </c>
      <c r="V214" s="10">
        <v>0.85066923902511016</v>
      </c>
      <c r="W214" s="10" t="s">
        <v>114</v>
      </c>
      <c r="X214" s="10">
        <v>0.71677845886555669</v>
      </c>
      <c r="Y214" s="11">
        <v>416.24626875204513</v>
      </c>
      <c r="Z214" s="10">
        <v>15.799262510608994</v>
      </c>
      <c r="AA214" s="10" t="s">
        <v>114</v>
      </c>
      <c r="AB214" s="10" t="s">
        <v>114</v>
      </c>
      <c r="AC214" s="10">
        <v>96.018236837516866</v>
      </c>
      <c r="AD214" s="10">
        <v>9.5911367925041553</v>
      </c>
      <c r="AE214" s="10">
        <v>0.21533720736052248</v>
      </c>
      <c r="AF214" s="10">
        <v>1.1714260655509687E-2</v>
      </c>
      <c r="AG214" s="11">
        <v>75.211021184317673</v>
      </c>
      <c r="AH214" s="11">
        <v>0.37036797303930002</v>
      </c>
      <c r="AI214" s="11">
        <v>0.72065324738672198</v>
      </c>
      <c r="AJ214" s="11">
        <v>7.3987028976946159E-2</v>
      </c>
      <c r="AK214" s="11">
        <v>0.3061038266358056</v>
      </c>
      <c r="AL214" s="11">
        <v>6.4376640133118113E-2</v>
      </c>
      <c r="AM214" s="11">
        <v>2.0461955327427266E-2</v>
      </c>
      <c r="AN214" s="11">
        <v>5.9121578441899671E-2</v>
      </c>
      <c r="AO214" s="11">
        <v>8.9093987713182322E-3</v>
      </c>
      <c r="AP214" s="11">
        <v>5.6819569141983835E-2</v>
      </c>
      <c r="AQ214" s="11">
        <v>1.0410233118317552E-2</v>
      </c>
      <c r="AR214" s="11">
        <v>2.8205249541644994E-2</v>
      </c>
      <c r="AS214" s="11">
        <v>2.8310432896370519E-3</v>
      </c>
      <c r="AT214" s="11">
        <v>2.8929945396698152E-2</v>
      </c>
      <c r="AU214" s="11">
        <v>3.9340271293393748E-3</v>
      </c>
      <c r="AV214" s="10">
        <v>0.53831629996803487</v>
      </c>
      <c r="AW214" s="10" t="s">
        <v>114</v>
      </c>
      <c r="AX214" s="10" t="s">
        <v>114</v>
      </c>
      <c r="AY214" s="10" t="s">
        <v>114</v>
      </c>
      <c r="AZ214" s="10">
        <v>2.1789831398134352</v>
      </c>
      <c r="BA214" s="10">
        <v>1.9888344380424068</v>
      </c>
      <c r="BB214" s="11">
        <v>2.0603874542668792</v>
      </c>
      <c r="BC214" s="11">
        <v>0.10654909348283305</v>
      </c>
      <c r="BD214" s="11">
        <v>0.73754494877947097</v>
      </c>
    </row>
    <row r="215" spans="1:56" x14ac:dyDescent="0.3">
      <c r="A215" t="s">
        <v>326</v>
      </c>
      <c r="B215" t="s">
        <v>60</v>
      </c>
      <c r="C215" s="10">
        <v>11863.951700355245</v>
      </c>
      <c r="D215" s="11">
        <v>1926.0019202305125</v>
      </c>
      <c r="E215" s="10">
        <v>366.42029475183585</v>
      </c>
      <c r="F215" s="10">
        <v>134724.97753420167</v>
      </c>
      <c r="G215" s="10">
        <v>323.71675506926607</v>
      </c>
      <c r="H215" s="10">
        <v>302943.2376100801</v>
      </c>
      <c r="I215" s="11">
        <v>291625.04854795471</v>
      </c>
      <c r="J215" s="10">
        <v>34.84647584823125</v>
      </c>
      <c r="K215" s="11">
        <v>1.1430556628205362</v>
      </c>
      <c r="L215" s="11">
        <v>2.3126676797632602</v>
      </c>
      <c r="M215" s="11">
        <v>4.5587084097224091</v>
      </c>
      <c r="N215" s="11">
        <v>133.68446809526537</v>
      </c>
      <c r="O215" s="10">
        <v>141.92857812569679</v>
      </c>
      <c r="P215" s="10">
        <v>1.4945624048301498</v>
      </c>
      <c r="Q215" s="11">
        <v>8.2862680651807601</v>
      </c>
      <c r="R215" s="11">
        <v>51.895543460461852</v>
      </c>
      <c r="S215" s="10">
        <v>52.556705860117432</v>
      </c>
      <c r="T215" s="11">
        <v>98.11215759679736</v>
      </c>
      <c r="U215" s="10">
        <v>91.366316737597813</v>
      </c>
      <c r="V215" s="10" t="s">
        <v>114</v>
      </c>
      <c r="W215" s="10" t="s">
        <v>114</v>
      </c>
      <c r="X215" s="10">
        <v>0.54314777713881668</v>
      </c>
      <c r="Y215" s="11">
        <v>258.50930688640926</v>
      </c>
      <c r="Z215" s="10">
        <v>13.922014827959678</v>
      </c>
      <c r="AA215" s="10" t="s">
        <v>114</v>
      </c>
      <c r="AB215" s="10" t="s">
        <v>114</v>
      </c>
      <c r="AC215" s="10">
        <v>9.2351945829187247</v>
      </c>
      <c r="AD215" s="10">
        <v>8.4156322039865419</v>
      </c>
      <c r="AE215" s="10">
        <v>0.13419124648019262</v>
      </c>
      <c r="AF215" s="10">
        <v>7.5457418670624886E-3</v>
      </c>
      <c r="AG215" s="11">
        <v>26.51366683962635</v>
      </c>
      <c r="AH215" s="11">
        <v>0.18863947663743158</v>
      </c>
      <c r="AI215" s="11">
        <v>0.38478256591483334</v>
      </c>
      <c r="AJ215" s="11">
        <v>3.1031500880808981E-2</v>
      </c>
      <c r="AK215" s="11">
        <v>0.14790224997638246</v>
      </c>
      <c r="AL215" s="11">
        <v>2.3449347063056774E-2</v>
      </c>
      <c r="AM215" s="11">
        <v>7.5054663681988166E-3</v>
      </c>
      <c r="AN215" s="11">
        <v>2.1515948076398221E-2</v>
      </c>
      <c r="AO215" s="11">
        <v>5.0355962066734013E-3</v>
      </c>
      <c r="AP215" s="11">
        <v>2.1323011099720377E-2</v>
      </c>
      <c r="AQ215" s="11">
        <v>4.6135508467181601E-3</v>
      </c>
      <c r="AR215" s="11">
        <v>1.2614387603291635E-2</v>
      </c>
      <c r="AS215" s="11" t="s">
        <v>114</v>
      </c>
      <c r="AT215" s="11">
        <v>1.1461221151424667E-2</v>
      </c>
      <c r="AU215" s="11">
        <v>2.3482794726318265E-3</v>
      </c>
      <c r="AV215" s="10">
        <v>0.4478483031319091</v>
      </c>
      <c r="AW215" s="10" t="s">
        <v>114</v>
      </c>
      <c r="AX215" s="10" t="s">
        <v>114</v>
      </c>
      <c r="AY215" s="10" t="s">
        <v>114</v>
      </c>
      <c r="AZ215" s="10">
        <v>1.1941319560292736</v>
      </c>
      <c r="BA215" s="10">
        <v>1.0486945368496119</v>
      </c>
      <c r="BB215" s="11">
        <v>1.1070906392541495</v>
      </c>
      <c r="BC215" s="11" t="s">
        <v>114</v>
      </c>
      <c r="BD215" s="11">
        <v>1.0019356958523316</v>
      </c>
    </row>
    <row r="216" spans="1:56" x14ac:dyDescent="0.3">
      <c r="A216" t="s">
        <v>327</v>
      </c>
      <c r="B216" t="s">
        <v>60</v>
      </c>
      <c r="C216" s="10">
        <v>13115.215433733094</v>
      </c>
      <c r="D216" s="11">
        <v>3276.1607157838812</v>
      </c>
      <c r="E216" s="10">
        <v>433.33717454828309</v>
      </c>
      <c r="F216" s="10">
        <v>217675.61475433587</v>
      </c>
      <c r="G216" s="10">
        <v>393.03345454836011</v>
      </c>
      <c r="H216" s="10">
        <v>512881.91206250386</v>
      </c>
      <c r="I216" s="11">
        <v>494945.96231064975</v>
      </c>
      <c r="J216" s="10">
        <v>138.41913960170615</v>
      </c>
      <c r="K216" s="11">
        <v>1.8230008699410698</v>
      </c>
      <c r="L216" s="11">
        <v>8.2874919619006704</v>
      </c>
      <c r="M216" s="11">
        <v>17.6726189867477</v>
      </c>
      <c r="N216" s="11">
        <v>243.79174704234291</v>
      </c>
      <c r="O216" s="10">
        <v>261.20590021188417</v>
      </c>
      <c r="P216" s="10">
        <v>0.3820982341381049</v>
      </c>
      <c r="Q216" s="11">
        <v>6.8558607901763411</v>
      </c>
      <c r="R216" s="11">
        <v>65.52618319465364</v>
      </c>
      <c r="S216" s="10">
        <v>66.484591996583717</v>
      </c>
      <c r="T216" s="11">
        <v>352.98147805207907</v>
      </c>
      <c r="U216" s="10">
        <v>333.59401365924748</v>
      </c>
      <c r="V216" s="10">
        <v>1.0498775978569186</v>
      </c>
      <c r="W216" s="10" t="s">
        <v>114</v>
      </c>
      <c r="X216" s="10">
        <v>0.51046187756135053</v>
      </c>
      <c r="Y216" s="11">
        <v>472.56877350909292</v>
      </c>
      <c r="Z216" s="10">
        <v>14.193689955645587</v>
      </c>
      <c r="AA216" s="10" t="s">
        <v>114</v>
      </c>
      <c r="AB216" s="10" t="s">
        <v>114</v>
      </c>
      <c r="AC216" s="10">
        <v>9.4286901297905565</v>
      </c>
      <c r="AD216" s="10">
        <v>8.3702598309762113</v>
      </c>
      <c r="AE216" s="10">
        <v>0.14629625418406478</v>
      </c>
      <c r="AF216" s="10">
        <v>9.6861821448120024E-3</v>
      </c>
      <c r="AG216" s="11">
        <v>137.60574622486246</v>
      </c>
      <c r="AH216" s="11">
        <v>0.64887164334922531</v>
      </c>
      <c r="AI216" s="11">
        <v>1.0683036274539415</v>
      </c>
      <c r="AJ216" s="11">
        <v>0.13349254956911941</v>
      </c>
      <c r="AK216" s="11">
        <v>0.5866401754955205</v>
      </c>
      <c r="AL216" s="11">
        <v>0.11785784028195602</v>
      </c>
      <c r="AM216" s="11">
        <v>3.2600945130351347E-2</v>
      </c>
      <c r="AN216" s="11">
        <v>0.11114836674399865</v>
      </c>
      <c r="AO216" s="11">
        <v>1.5762106744663586E-2</v>
      </c>
      <c r="AP216" s="11">
        <v>9.2031218961519584E-2</v>
      </c>
      <c r="AQ216" s="11">
        <v>1.6575647623782892E-2</v>
      </c>
      <c r="AR216" s="11">
        <v>5.2049736954453682E-2</v>
      </c>
      <c r="AS216" s="11">
        <v>5.1021077657390492E-3</v>
      </c>
      <c r="AT216" s="11">
        <v>3.6974741198250199E-2</v>
      </c>
      <c r="AU216" s="11">
        <v>5.908112985655487E-3</v>
      </c>
      <c r="AV216" s="10">
        <v>0.49965676893622907</v>
      </c>
      <c r="AW216" s="10" t="s">
        <v>114</v>
      </c>
      <c r="AX216" s="10" t="s">
        <v>114</v>
      </c>
      <c r="AY216" s="10" t="s">
        <v>114</v>
      </c>
      <c r="AZ216" s="10">
        <v>3.4325726739761833</v>
      </c>
      <c r="BA216" s="10">
        <v>3.1111852439277348</v>
      </c>
      <c r="BB216" s="11">
        <v>3.2391985650424098</v>
      </c>
      <c r="BC216" s="11">
        <v>5.2333961261131122E-2</v>
      </c>
      <c r="BD216" s="11">
        <v>0.58837594273683791</v>
      </c>
    </row>
    <row r="217" spans="1:56" x14ac:dyDescent="0.3">
      <c r="A217" t="s">
        <v>328</v>
      </c>
      <c r="B217" t="s">
        <v>60</v>
      </c>
      <c r="C217" s="10">
        <v>11834.84072732781</v>
      </c>
      <c r="D217" s="11">
        <v>2208.7755572195829</v>
      </c>
      <c r="E217" s="10">
        <v>390.54355330915246</v>
      </c>
      <c r="F217" s="10">
        <v>150025.75073651521</v>
      </c>
      <c r="G217" s="10">
        <v>351.44272898381422</v>
      </c>
      <c r="H217" s="10">
        <v>342599.62030265725</v>
      </c>
      <c r="I217" s="11">
        <v>327886.63939448557</v>
      </c>
      <c r="J217" s="10">
        <v>67.274552481181473</v>
      </c>
      <c r="K217" s="11">
        <v>1.0450826581179926</v>
      </c>
      <c r="L217" s="11">
        <v>3.1317560499730259</v>
      </c>
      <c r="M217" s="11">
        <v>9.5086855624116478</v>
      </c>
      <c r="N217" s="11">
        <v>131.52629497399474</v>
      </c>
      <c r="O217" s="10">
        <v>141.97611059677905</v>
      </c>
      <c r="P217" s="10">
        <v>0.16914808453536395</v>
      </c>
      <c r="Q217" s="11">
        <v>11.15105404843516</v>
      </c>
      <c r="R217" s="11">
        <v>54.084377060254191</v>
      </c>
      <c r="S217" s="10">
        <v>54.437336962507345</v>
      </c>
      <c r="T217" s="11">
        <v>168.24129309387342</v>
      </c>
      <c r="U217" s="10">
        <v>160.68731755272381</v>
      </c>
      <c r="V217" s="10">
        <v>1.017917795570517</v>
      </c>
      <c r="W217" s="10" t="s">
        <v>114</v>
      </c>
      <c r="X217" s="10">
        <v>0.55782008179785447</v>
      </c>
      <c r="Y217" s="11">
        <v>241.87128926613494</v>
      </c>
      <c r="Z217" s="10">
        <v>15.000116353883479</v>
      </c>
      <c r="AA217" s="10" t="s">
        <v>114</v>
      </c>
      <c r="AB217" s="10" t="s">
        <v>114</v>
      </c>
      <c r="AC217" s="10">
        <v>4.4940976393782863</v>
      </c>
      <c r="AD217" s="10">
        <v>8.895263468318003</v>
      </c>
      <c r="AE217" s="10">
        <v>0.13918120537860373</v>
      </c>
      <c r="AF217" s="10">
        <v>9.5856305586015829E-3</v>
      </c>
      <c r="AG217" s="11">
        <v>41.549958213295078</v>
      </c>
      <c r="AH217" s="11">
        <v>0.17734448705689934</v>
      </c>
      <c r="AI217" s="11">
        <v>0.3096331716614269</v>
      </c>
      <c r="AJ217" s="11">
        <v>2.7783845098470889E-2</v>
      </c>
      <c r="AK217" s="11">
        <v>0.10533078150210129</v>
      </c>
      <c r="AL217" s="11">
        <v>1.5187372937926992E-2</v>
      </c>
      <c r="AM217" s="11">
        <v>4.9290608125770454E-3</v>
      </c>
      <c r="AN217" s="11">
        <v>2.5993512383902743E-2</v>
      </c>
      <c r="AO217" s="11">
        <v>3.6157377386146464E-3</v>
      </c>
      <c r="AP217" s="11">
        <v>1.6477522828209752E-2</v>
      </c>
      <c r="AQ217" s="11" t="s">
        <v>114</v>
      </c>
      <c r="AR217" s="11">
        <v>1.4111419810650018E-2</v>
      </c>
      <c r="AS217" s="11" t="s">
        <v>114</v>
      </c>
      <c r="AT217" s="11">
        <v>1.0727830170067237E-2</v>
      </c>
      <c r="AU217" s="11">
        <v>1.7381609754976619E-3</v>
      </c>
      <c r="AV217" s="10">
        <v>0.46467352776943721</v>
      </c>
      <c r="AW217" s="10" t="s">
        <v>114</v>
      </c>
      <c r="AX217" s="10" t="s">
        <v>114</v>
      </c>
      <c r="AY217" s="10" t="s">
        <v>114</v>
      </c>
      <c r="AZ217" s="10">
        <v>1.3891157217181469</v>
      </c>
      <c r="BA217" s="10">
        <v>1.276117483907407</v>
      </c>
      <c r="BB217" s="11">
        <v>1.3226594779014738</v>
      </c>
      <c r="BC217" s="11" t="s">
        <v>114</v>
      </c>
      <c r="BD217" s="11">
        <v>0.1680784550550331</v>
      </c>
    </row>
    <row r="218" spans="1:56" x14ac:dyDescent="0.3">
      <c r="A218" t="s">
        <v>329</v>
      </c>
      <c r="B218" t="s">
        <v>60</v>
      </c>
      <c r="C218" s="10">
        <v>12011.684575212452</v>
      </c>
      <c r="D218" s="11">
        <v>2074.1895531851073</v>
      </c>
      <c r="E218" s="10">
        <v>394.73850757007597</v>
      </c>
      <c r="F218" s="10">
        <v>135564.04710460009</v>
      </c>
      <c r="G218" s="10">
        <v>358.35525674201892</v>
      </c>
      <c r="H218" s="10">
        <v>308285.36942738458</v>
      </c>
      <c r="I218" s="11">
        <v>296019.56939939794</v>
      </c>
      <c r="J218" s="10">
        <v>70.288085446432049</v>
      </c>
      <c r="K218" s="11">
        <v>1.4939032986995635</v>
      </c>
      <c r="L218" s="11">
        <v>4.3413514380340725</v>
      </c>
      <c r="M218" s="11">
        <v>7.3158989953124003</v>
      </c>
      <c r="N218" s="11">
        <v>148.81593750360145</v>
      </c>
      <c r="O218" s="10">
        <v>156.15688326051256</v>
      </c>
      <c r="P218" s="10">
        <v>3.0814258917192103</v>
      </c>
      <c r="Q218" s="11">
        <v>4.3499779260756659</v>
      </c>
      <c r="R218" s="11">
        <v>60.383954072469727</v>
      </c>
      <c r="S218" s="10">
        <v>60.701307416049836</v>
      </c>
      <c r="T218" s="11">
        <v>189.14657444905157</v>
      </c>
      <c r="U218" s="10">
        <v>173.21520197310591</v>
      </c>
      <c r="V218" s="10">
        <v>1.8106371137872634</v>
      </c>
      <c r="W218" s="10" t="s">
        <v>114</v>
      </c>
      <c r="X218" s="10">
        <v>0.59813942073310744</v>
      </c>
      <c r="Y218" s="11">
        <v>198.81482427019179</v>
      </c>
      <c r="Z218" s="10">
        <v>14.882743064858023</v>
      </c>
      <c r="AA218" s="10" t="s">
        <v>114</v>
      </c>
      <c r="AB218" s="10" t="s">
        <v>114</v>
      </c>
      <c r="AC218" s="10">
        <v>4.7001305489892937</v>
      </c>
      <c r="AD218" s="10">
        <v>9.0218289963592504</v>
      </c>
      <c r="AE218" s="10">
        <v>1.3364119690133553</v>
      </c>
      <c r="AF218" s="10">
        <v>9.5546374169856105E-3</v>
      </c>
      <c r="AG218" s="11">
        <v>31.031524895953044</v>
      </c>
      <c r="AH218" s="11">
        <v>0.26259429784846927</v>
      </c>
      <c r="AI218" s="11">
        <v>0.47377290143899087</v>
      </c>
      <c r="AJ218" s="11">
        <v>4.6349939483153649E-2</v>
      </c>
      <c r="AK218" s="11">
        <v>0.17446120166846951</v>
      </c>
      <c r="AL218" s="11">
        <v>4.1255990331481404E-2</v>
      </c>
      <c r="AM218" s="11">
        <v>1.0664394889604797E-2</v>
      </c>
      <c r="AN218" s="11">
        <v>3.3009441553282885E-2</v>
      </c>
      <c r="AO218" s="11">
        <v>5.957863201046458E-3</v>
      </c>
      <c r="AP218" s="11">
        <v>2.9204026704365612E-2</v>
      </c>
      <c r="AQ218" s="11">
        <v>3.5815129748929947E-3</v>
      </c>
      <c r="AR218" s="11">
        <v>1.1743183528366955E-2</v>
      </c>
      <c r="AS218" s="11" t="s">
        <v>114</v>
      </c>
      <c r="AT218" s="11">
        <v>1.2663103824536854E-2</v>
      </c>
      <c r="AU218" s="11">
        <v>2.7918281713596041E-3</v>
      </c>
      <c r="AV218" s="10">
        <v>0.4322989199937205</v>
      </c>
      <c r="AW218" s="10" t="s">
        <v>114</v>
      </c>
      <c r="AX218" s="10" t="s">
        <v>114</v>
      </c>
      <c r="AY218" s="10" t="s">
        <v>114</v>
      </c>
      <c r="AZ218" s="10">
        <v>1.6998085369139055</v>
      </c>
      <c r="BA218" s="10">
        <v>1.5661320100769611</v>
      </c>
      <c r="BB218" s="11">
        <v>1.6107371931371099</v>
      </c>
      <c r="BC218" s="11" t="s">
        <v>114</v>
      </c>
      <c r="BD218" s="11">
        <v>0.18774848196411315</v>
      </c>
    </row>
    <row r="219" spans="1:56" x14ac:dyDescent="0.3">
      <c r="A219" t="s">
        <v>330</v>
      </c>
      <c r="B219" t="s">
        <v>60</v>
      </c>
      <c r="C219" s="10">
        <v>14280.893221193992</v>
      </c>
      <c r="D219" s="11">
        <v>3655.859705077492</v>
      </c>
      <c r="E219" s="10">
        <v>433.25411666764967</v>
      </c>
      <c r="F219" s="10">
        <v>190009.29175071817</v>
      </c>
      <c r="G219" s="10">
        <v>410.36148045680363</v>
      </c>
      <c r="H219" s="10">
        <v>447242.29268175195</v>
      </c>
      <c r="I219" s="11">
        <v>430275.28726835293</v>
      </c>
      <c r="J219" s="10">
        <v>36.356077476288156</v>
      </c>
      <c r="K219" s="11">
        <v>3.2073807210422234</v>
      </c>
      <c r="L219" s="11">
        <v>4.5499532498844948</v>
      </c>
      <c r="M219" s="11">
        <v>7.6864010653817045</v>
      </c>
      <c r="N219" s="11">
        <v>141.5501704672385</v>
      </c>
      <c r="O219" s="10">
        <v>158.21365377322059</v>
      </c>
      <c r="P219" s="10">
        <v>0.31511965280856402</v>
      </c>
      <c r="Q219" s="11">
        <v>32.339835189816732</v>
      </c>
      <c r="R219" s="11">
        <v>74.347944587778315</v>
      </c>
      <c r="S219" s="10">
        <v>74.730167628256453</v>
      </c>
      <c r="T219" s="11">
        <v>189.47361817611306</v>
      </c>
      <c r="U219" s="10">
        <v>176.59145421898765</v>
      </c>
      <c r="V219" s="10">
        <v>1.5708747137890904</v>
      </c>
      <c r="W219" s="10" t="s">
        <v>114</v>
      </c>
      <c r="X219" s="10">
        <v>0.542165094321573</v>
      </c>
      <c r="Y219" s="11">
        <v>303.8693517905125</v>
      </c>
      <c r="Z219" s="10">
        <v>15.520255557380787</v>
      </c>
      <c r="AA219" s="10">
        <v>1.5642583391607612</v>
      </c>
      <c r="AB219" s="10">
        <v>1.5562393518845823</v>
      </c>
      <c r="AC219" s="10">
        <v>4.1609239038624741</v>
      </c>
      <c r="AD219" s="10">
        <v>9.6317132471378475</v>
      </c>
      <c r="AE219" s="10">
        <v>0.51118521943279605</v>
      </c>
      <c r="AF219" s="10">
        <v>1.0610470022891878E-2</v>
      </c>
      <c r="AG219" s="11">
        <v>30.630566660468297</v>
      </c>
      <c r="AH219" s="11">
        <v>0.15218353598857182</v>
      </c>
      <c r="AI219" s="11">
        <v>0.29440909600266174</v>
      </c>
      <c r="AJ219" s="11">
        <v>3.1056261137791974E-2</v>
      </c>
      <c r="AK219" s="11">
        <v>0.12384120774905101</v>
      </c>
      <c r="AL219" s="11">
        <v>2.111077816021744E-2</v>
      </c>
      <c r="AM219" s="11">
        <v>4.9426591086589528E-3</v>
      </c>
      <c r="AN219" s="11">
        <v>1.7877103716002624E-2</v>
      </c>
      <c r="AO219" s="11">
        <v>5.5388185376584898E-3</v>
      </c>
      <c r="AP219" s="11">
        <v>1.8094050096436068E-2</v>
      </c>
      <c r="AQ219" s="11">
        <v>4.1701585644941469E-3</v>
      </c>
      <c r="AR219" s="11">
        <v>1.2541595166365715E-2</v>
      </c>
      <c r="AS219" s="11" t="s">
        <v>114</v>
      </c>
      <c r="AT219" s="11" t="s">
        <v>114</v>
      </c>
      <c r="AU219" s="11">
        <v>1.5340948162316558E-3</v>
      </c>
      <c r="AV219" s="10">
        <v>0.44459707340095633</v>
      </c>
      <c r="AW219" s="10" t="s">
        <v>114</v>
      </c>
      <c r="AX219" s="10" t="s">
        <v>114</v>
      </c>
      <c r="AY219" s="10" t="s">
        <v>114</v>
      </c>
      <c r="AZ219" s="10">
        <v>19.165166637878361</v>
      </c>
      <c r="BA219" s="10">
        <v>17.091768707156803</v>
      </c>
      <c r="BB219" s="11">
        <v>18.06516842298759</v>
      </c>
      <c r="BC219" s="11" t="s">
        <v>114</v>
      </c>
      <c r="BD219" s="11">
        <v>9.4146137810520045E-2</v>
      </c>
    </row>
    <row r="220" spans="1:56" x14ac:dyDescent="0.3">
      <c r="A220" t="s">
        <v>331</v>
      </c>
      <c r="B220" t="s">
        <v>60</v>
      </c>
      <c r="C220" s="10">
        <v>12270.708791285348</v>
      </c>
      <c r="D220" s="11">
        <v>2237.5227207534072</v>
      </c>
      <c r="E220" s="10">
        <v>401.07860220133853</v>
      </c>
      <c r="F220" s="10">
        <v>129502.21362934995</v>
      </c>
      <c r="G220" s="10">
        <v>395.32676446811661</v>
      </c>
      <c r="H220" s="10">
        <v>295771.5283361348</v>
      </c>
      <c r="I220" s="11">
        <v>283353.79249727761</v>
      </c>
      <c r="J220" s="10">
        <v>10.102411485288973</v>
      </c>
      <c r="K220" s="11">
        <v>1.8606418993084868</v>
      </c>
      <c r="L220" s="11">
        <v>5.3054276817430406</v>
      </c>
      <c r="M220" s="11">
        <v>4.7751032394125357</v>
      </c>
      <c r="N220" s="11">
        <v>137.3336966926818</v>
      </c>
      <c r="O220" s="10">
        <v>144.47835105128436</v>
      </c>
      <c r="P220" s="10">
        <v>0.23325406266329396</v>
      </c>
      <c r="Q220" s="11">
        <v>3.5262618928400373</v>
      </c>
      <c r="R220" s="11">
        <v>64.878617225872432</v>
      </c>
      <c r="S220" s="10">
        <v>64.797015367173387</v>
      </c>
      <c r="T220" s="11">
        <v>187.48537437505286</v>
      </c>
      <c r="U220" s="10">
        <v>175.00398932350336</v>
      </c>
      <c r="V220" s="10">
        <v>1.3232209605654432</v>
      </c>
      <c r="W220" s="10" t="s">
        <v>114</v>
      </c>
      <c r="X220" s="10">
        <v>0.54701380962859225</v>
      </c>
      <c r="Y220" s="11">
        <v>204.96551593739886</v>
      </c>
      <c r="Z220" s="10">
        <v>16.041146407959427</v>
      </c>
      <c r="AA220" s="10">
        <v>0.75700378233142429</v>
      </c>
      <c r="AB220" s="10">
        <v>0.69987710499066869</v>
      </c>
      <c r="AC220" s="10">
        <v>6.8726688865109784</v>
      </c>
      <c r="AD220" s="10">
        <v>9.9465883999214064</v>
      </c>
      <c r="AE220" s="10">
        <v>0.42010577841202018</v>
      </c>
      <c r="AF220" s="10">
        <v>6.9174952572171339E-3</v>
      </c>
      <c r="AG220" s="11">
        <v>21.892112120169056</v>
      </c>
      <c r="AH220" s="11">
        <v>0.1379596170865362</v>
      </c>
      <c r="AI220" s="11">
        <v>0.24023523752213746</v>
      </c>
      <c r="AJ220" s="11">
        <v>2.283147671745954E-2</v>
      </c>
      <c r="AK220" s="11">
        <v>7.4378526323067212E-2</v>
      </c>
      <c r="AL220" s="11">
        <v>1.2077942312327405E-2</v>
      </c>
      <c r="AM220" s="11">
        <v>6.2958404329045191E-3</v>
      </c>
      <c r="AN220" s="11">
        <v>1.2170171620489216E-2</v>
      </c>
      <c r="AO220" s="11">
        <v>4.1681688453393713E-3</v>
      </c>
      <c r="AP220" s="11">
        <v>1.0347245112549695E-2</v>
      </c>
      <c r="AQ220" s="11" t="s">
        <v>114</v>
      </c>
      <c r="AR220" s="11" t="s">
        <v>114</v>
      </c>
      <c r="AS220" s="11" t="s">
        <v>114</v>
      </c>
      <c r="AT220" s="11">
        <v>9.5459609028587834E-3</v>
      </c>
      <c r="AU220" s="11" t="s">
        <v>114</v>
      </c>
      <c r="AV220" s="10">
        <v>0.45607843118996833</v>
      </c>
      <c r="AW220" s="10" t="s">
        <v>114</v>
      </c>
      <c r="AX220" s="10" t="s">
        <v>114</v>
      </c>
      <c r="AY220" s="10" t="s">
        <v>114</v>
      </c>
      <c r="AZ220" s="10">
        <v>4.2063632824640518</v>
      </c>
      <c r="BA220" s="10">
        <v>3.800282333974883</v>
      </c>
      <c r="BB220" s="11">
        <v>3.9596195011773867</v>
      </c>
      <c r="BC220" s="11" t="s">
        <v>114</v>
      </c>
      <c r="BD220" s="11">
        <v>6.6356225558882695E-2</v>
      </c>
    </row>
    <row r="221" spans="1:56" x14ac:dyDescent="0.3">
      <c r="A221" t="s">
        <v>332</v>
      </c>
      <c r="B221" t="s">
        <v>60</v>
      </c>
      <c r="C221" s="10">
        <v>12425.558912811202</v>
      </c>
      <c r="D221" s="11">
        <v>2571.8027035064761</v>
      </c>
      <c r="E221" s="10">
        <v>383.9495987135968</v>
      </c>
      <c r="F221" s="10">
        <v>134831.48255604648</v>
      </c>
      <c r="G221" s="10">
        <v>398.21427569474298</v>
      </c>
      <c r="H221" s="10">
        <v>308134.72251072864</v>
      </c>
      <c r="I221" s="11">
        <v>296830.40307450684</v>
      </c>
      <c r="J221" s="10">
        <v>7.2572770237144901</v>
      </c>
      <c r="K221" s="11">
        <v>2.2170765534273111</v>
      </c>
      <c r="L221" s="11">
        <v>3.3233042903676511</v>
      </c>
      <c r="M221" s="11">
        <v>5.1464226986849697</v>
      </c>
      <c r="N221" s="11">
        <v>111.41755546696658</v>
      </c>
      <c r="O221" s="10">
        <v>119.65856237050515</v>
      </c>
      <c r="P221" s="10">
        <v>0.64891806274756469</v>
      </c>
      <c r="Q221" s="11">
        <v>3.8220267225759694</v>
      </c>
      <c r="R221" s="11">
        <v>60.992417760307092</v>
      </c>
      <c r="S221" s="10">
        <v>61.045772839016848</v>
      </c>
      <c r="T221" s="11">
        <v>146.11694796191421</v>
      </c>
      <c r="U221" s="10">
        <v>136.45969805617108</v>
      </c>
      <c r="V221" s="10">
        <v>1.1586682220598876</v>
      </c>
      <c r="W221" s="10" t="s">
        <v>114</v>
      </c>
      <c r="X221" s="10">
        <v>0.58337868831827533</v>
      </c>
      <c r="Y221" s="11">
        <v>234.52244737328911</v>
      </c>
      <c r="Z221" s="10">
        <v>14.942285261339917</v>
      </c>
      <c r="AA221" s="10">
        <v>1.0778429599157846</v>
      </c>
      <c r="AB221" s="10">
        <v>0.95099773984741931</v>
      </c>
      <c r="AC221" s="10">
        <v>4.5826047446731817</v>
      </c>
      <c r="AD221" s="10">
        <v>8.9380300347174533</v>
      </c>
      <c r="AE221" s="10">
        <v>0.35547007341643894</v>
      </c>
      <c r="AF221" s="10">
        <v>7.6372095974046282E-3</v>
      </c>
      <c r="AG221" s="11">
        <v>22.198218131988344</v>
      </c>
      <c r="AH221" s="11">
        <v>0.14378349712468913</v>
      </c>
      <c r="AI221" s="11">
        <v>0.22402592893925652</v>
      </c>
      <c r="AJ221" s="11">
        <v>2.3695823550304612E-2</v>
      </c>
      <c r="AK221" s="11">
        <v>9.255734048541496E-2</v>
      </c>
      <c r="AL221" s="11">
        <v>1.6755621603240393E-2</v>
      </c>
      <c r="AM221" s="11">
        <v>1.1163845553532344E-2</v>
      </c>
      <c r="AN221" s="11">
        <v>1.0085181550803183E-2</v>
      </c>
      <c r="AO221" s="11" t="s">
        <v>114</v>
      </c>
      <c r="AP221" s="11">
        <v>1.4723722958406491E-2</v>
      </c>
      <c r="AQ221" s="11" t="s">
        <v>114</v>
      </c>
      <c r="AR221" s="11">
        <v>1.1425875115641885E-2</v>
      </c>
      <c r="AS221" s="11" t="s">
        <v>114</v>
      </c>
      <c r="AT221" s="11">
        <v>7.7405758956400651E-3</v>
      </c>
      <c r="AU221" s="11">
        <v>1.7497569120644098E-3</v>
      </c>
      <c r="AV221" s="10">
        <v>0.40882132441423924</v>
      </c>
      <c r="AW221" s="10" t="s">
        <v>114</v>
      </c>
      <c r="AX221" s="10" t="s">
        <v>114</v>
      </c>
      <c r="AY221" s="10" t="s">
        <v>114</v>
      </c>
      <c r="AZ221" s="10">
        <v>15.904765576562728</v>
      </c>
      <c r="BA221" s="10">
        <v>14.255237783727775</v>
      </c>
      <c r="BB221" s="11">
        <v>14.934206966373624</v>
      </c>
      <c r="BC221" s="11" t="s">
        <v>114</v>
      </c>
      <c r="BD221" s="11">
        <v>5.2502052392065159E-2</v>
      </c>
    </row>
    <row r="222" spans="1:56" x14ac:dyDescent="0.3">
      <c r="A222" s="1" t="s">
        <v>69</v>
      </c>
      <c r="B222" t="s">
        <v>61</v>
      </c>
      <c r="C222" s="10">
        <v>5226.439598649411</v>
      </c>
      <c r="D222" s="11">
        <v>1294.6858189039608</v>
      </c>
      <c r="E222" s="10">
        <v>59.52050882926698</v>
      </c>
      <c r="F222" s="10">
        <v>192793.73105464756</v>
      </c>
      <c r="G222" s="10" t="s">
        <v>114</v>
      </c>
      <c r="H222" s="10">
        <v>471642.73072286142</v>
      </c>
      <c r="I222" s="11">
        <v>479621.3154946529</v>
      </c>
      <c r="J222" s="10">
        <v>6.6955693304260731</v>
      </c>
      <c r="K222" s="11">
        <v>24.733693460447817</v>
      </c>
      <c r="L222" s="11">
        <v>6.5510735235185029</v>
      </c>
      <c r="M222" s="11">
        <v>735.25760987487092</v>
      </c>
      <c r="N222" s="11">
        <v>658.95037367322141</v>
      </c>
      <c r="O222" s="10">
        <v>666.9773183833247</v>
      </c>
      <c r="P222" s="10">
        <v>1.6953530793329055</v>
      </c>
      <c r="Q222" s="11">
        <v>7.8820121480872212</v>
      </c>
      <c r="R222" s="11">
        <v>14.668857268062768</v>
      </c>
      <c r="S222" s="10">
        <v>14.759827485361756</v>
      </c>
      <c r="T222" s="11">
        <v>236.5659152922056</v>
      </c>
      <c r="U222" s="10">
        <v>228.0723257680242</v>
      </c>
      <c r="V222" s="10">
        <v>13.195851298166945</v>
      </c>
      <c r="W222" s="10" t="s">
        <v>114</v>
      </c>
      <c r="X222" s="10">
        <v>0.25696164957114043</v>
      </c>
      <c r="Y222" s="11">
        <v>1921.844328781558</v>
      </c>
      <c r="Z222" s="10">
        <v>10.297078010239368</v>
      </c>
      <c r="AA222" s="10">
        <v>1.4460387895228517</v>
      </c>
      <c r="AB222" s="10">
        <v>1.3360930682885188</v>
      </c>
      <c r="AC222" s="10">
        <v>7.0201048993135515</v>
      </c>
      <c r="AD222" s="10" t="s">
        <v>114</v>
      </c>
      <c r="AE222" s="10" t="s">
        <v>114</v>
      </c>
      <c r="AF222" s="10">
        <v>1.1777792745201094E-2</v>
      </c>
      <c r="AG222" s="11">
        <v>92.109622440201363</v>
      </c>
      <c r="AH222" s="11">
        <v>0.34093159003754836</v>
      </c>
      <c r="AI222" s="11">
        <v>0.57603305555955342</v>
      </c>
      <c r="AJ222" s="11">
        <v>5.0304586173081554E-2</v>
      </c>
      <c r="AK222" s="11">
        <v>0.22546506982876618</v>
      </c>
      <c r="AL222" s="11">
        <v>3.3884696472160337E-2</v>
      </c>
      <c r="AM222" s="11">
        <v>1.3887783942844702E-2</v>
      </c>
      <c r="AN222" s="11">
        <v>5.7605786714421306E-2</v>
      </c>
      <c r="AO222" s="11">
        <v>1.1469472775626913E-2</v>
      </c>
      <c r="AP222" s="11">
        <v>0.10467363799794241</v>
      </c>
      <c r="AQ222" s="11">
        <v>3.0437412075072539E-2</v>
      </c>
      <c r="AR222" s="11">
        <v>0.11036489510633776</v>
      </c>
      <c r="AS222" s="11">
        <v>1.9720417103956268E-2</v>
      </c>
      <c r="AT222" s="11">
        <v>0.14018103980332014</v>
      </c>
      <c r="AU222" s="11">
        <v>2.418911356611508E-2</v>
      </c>
      <c r="AV222" s="10">
        <v>5.1370369028376812</v>
      </c>
      <c r="AW222" s="10">
        <v>11.065920016240177</v>
      </c>
      <c r="AX222" s="10" t="s">
        <v>114</v>
      </c>
      <c r="AY222" s="10">
        <v>4.6831349212510198E-2</v>
      </c>
      <c r="AZ222" s="10">
        <v>15.169521057490703</v>
      </c>
      <c r="BA222" s="10">
        <v>13.757288273637407</v>
      </c>
      <c r="BB222" s="11">
        <v>14.327217695501284</v>
      </c>
      <c r="BC222" s="11">
        <v>1.3951067324713484</v>
      </c>
      <c r="BD222" s="11">
        <v>46.251182250413507</v>
      </c>
    </row>
    <row r="223" spans="1:56" x14ac:dyDescent="0.3">
      <c r="A223" s="1" t="s">
        <v>70</v>
      </c>
      <c r="B223" t="s">
        <v>61</v>
      </c>
      <c r="C223" s="10">
        <v>5226.439598649411</v>
      </c>
      <c r="D223" s="11">
        <v>1294.6858189039608</v>
      </c>
      <c r="E223" s="10">
        <v>59.52050882926698</v>
      </c>
      <c r="F223" s="10">
        <v>192793.73105464756</v>
      </c>
      <c r="G223" s="10" t="s">
        <v>114</v>
      </c>
      <c r="H223" s="10">
        <v>471642.73072286142</v>
      </c>
      <c r="I223" s="11">
        <v>479621.3154946529</v>
      </c>
      <c r="J223" s="10">
        <v>6.6955693304260731</v>
      </c>
      <c r="K223" s="11">
        <v>24.733693460447817</v>
      </c>
      <c r="L223" s="11">
        <v>6.5510735235185029</v>
      </c>
      <c r="M223" s="11">
        <v>735.25760987487092</v>
      </c>
      <c r="N223" s="11">
        <v>658.95037367322141</v>
      </c>
      <c r="O223" s="10">
        <v>666.9773183833247</v>
      </c>
      <c r="P223" s="10">
        <v>1.6953530793329055</v>
      </c>
      <c r="Q223" s="11">
        <v>7.8820121480872212</v>
      </c>
      <c r="R223" s="11">
        <v>14.668857268062768</v>
      </c>
      <c r="S223" s="10">
        <v>14.759827485361756</v>
      </c>
      <c r="T223" s="11">
        <v>236.5659152922056</v>
      </c>
      <c r="U223" s="10">
        <v>228.0723257680242</v>
      </c>
      <c r="V223" s="10">
        <v>13.195851298166945</v>
      </c>
      <c r="W223" s="10" t="s">
        <v>114</v>
      </c>
      <c r="X223" s="10">
        <v>0.25696164957114043</v>
      </c>
      <c r="Y223" s="11">
        <v>1921.844328781558</v>
      </c>
      <c r="Z223" s="10">
        <v>10.297078010239368</v>
      </c>
      <c r="AA223" s="10">
        <v>1.4460387895228517</v>
      </c>
      <c r="AB223" s="10">
        <v>1.3360930682885188</v>
      </c>
      <c r="AC223" s="10">
        <v>7.0201048993135515</v>
      </c>
      <c r="AD223" s="10" t="s">
        <v>114</v>
      </c>
      <c r="AE223" s="10" t="s">
        <v>114</v>
      </c>
      <c r="AF223" s="10">
        <v>1.1777792745201094E-2</v>
      </c>
      <c r="AG223" s="11">
        <v>92.109622440201363</v>
      </c>
      <c r="AH223" s="11">
        <v>0.34093159003754836</v>
      </c>
      <c r="AI223" s="11">
        <v>0.57603305555955342</v>
      </c>
      <c r="AJ223" s="11">
        <v>5.0304586173081554E-2</v>
      </c>
      <c r="AK223" s="11">
        <v>0.22546506982876618</v>
      </c>
      <c r="AL223" s="11">
        <v>3.3884696472160337E-2</v>
      </c>
      <c r="AM223" s="11">
        <v>1.3887783942844702E-2</v>
      </c>
      <c r="AN223" s="11">
        <v>5.7605786714421306E-2</v>
      </c>
      <c r="AO223" s="11">
        <v>1.1469472775626913E-2</v>
      </c>
      <c r="AP223" s="11">
        <v>0.10467363799794241</v>
      </c>
      <c r="AQ223" s="11">
        <v>3.0437412075072539E-2</v>
      </c>
      <c r="AR223" s="11">
        <v>0.11036489510633776</v>
      </c>
      <c r="AS223" s="11">
        <v>1.9720417103956268E-2</v>
      </c>
      <c r="AT223" s="11">
        <v>0.14018103980332014</v>
      </c>
      <c r="AU223" s="11">
        <v>2.418911356611508E-2</v>
      </c>
      <c r="AV223" s="10">
        <v>5.1370369028376812</v>
      </c>
      <c r="AW223" s="10">
        <v>11.065920016240177</v>
      </c>
      <c r="AX223" s="10" t="s">
        <v>114</v>
      </c>
      <c r="AY223" s="10">
        <v>4.6831349212510198E-2</v>
      </c>
      <c r="AZ223" s="10">
        <v>15.169521057490703</v>
      </c>
      <c r="BA223" s="10">
        <v>13.757288273637407</v>
      </c>
      <c r="BB223" s="11">
        <v>14.327217695501284</v>
      </c>
      <c r="BC223" s="11">
        <v>1.3951067324713484</v>
      </c>
      <c r="BD223" s="11">
        <v>46.251182250413507</v>
      </c>
    </row>
    <row r="224" spans="1:56" x14ac:dyDescent="0.3">
      <c r="A224" s="1" t="s">
        <v>71</v>
      </c>
      <c r="B224" t="s">
        <v>61</v>
      </c>
      <c r="C224" s="10">
        <v>4297.369164193341</v>
      </c>
      <c r="D224" s="11">
        <v>961.05231807208224</v>
      </c>
      <c r="E224" s="10">
        <v>50.780289824876249</v>
      </c>
      <c r="F224" s="10">
        <v>159193.2780555296</v>
      </c>
      <c r="G224" s="10" t="s">
        <v>114</v>
      </c>
      <c r="H224" s="10">
        <v>376229.71748582862</v>
      </c>
      <c r="I224" s="11">
        <v>379768.65982478985</v>
      </c>
      <c r="J224" s="10" t="s">
        <v>114</v>
      </c>
      <c r="K224" s="11">
        <v>25.698092706277443</v>
      </c>
      <c r="L224" s="11">
        <v>15.333880001554764</v>
      </c>
      <c r="M224" s="11">
        <v>466.99843878587751</v>
      </c>
      <c r="N224" s="11">
        <v>1814.1990249188957</v>
      </c>
      <c r="O224" s="10">
        <v>1818.0034299864758</v>
      </c>
      <c r="P224" s="10">
        <v>1.2861769333521362</v>
      </c>
      <c r="Q224" s="11">
        <v>7.2079320153807949</v>
      </c>
      <c r="R224" s="11">
        <v>12.113852453364803</v>
      </c>
      <c r="S224" s="10">
        <v>11.928580552581488</v>
      </c>
      <c r="T224" s="11">
        <v>130.17834680147914</v>
      </c>
      <c r="U224" s="10">
        <v>129.61938382666099</v>
      </c>
      <c r="V224" s="10">
        <v>17.06062667456856</v>
      </c>
      <c r="W224" s="10" t="s">
        <v>114</v>
      </c>
      <c r="X224" s="10" t="s">
        <v>114</v>
      </c>
      <c r="Y224" s="11">
        <v>1272.3575989117774</v>
      </c>
      <c r="Z224" s="10">
        <v>6.4867064952681188</v>
      </c>
      <c r="AA224" s="10" t="s">
        <v>114</v>
      </c>
      <c r="AB224" s="10">
        <v>0.75959469139095792</v>
      </c>
      <c r="AC224" s="10" t="s">
        <v>114</v>
      </c>
      <c r="AD224" s="10" t="s">
        <v>114</v>
      </c>
      <c r="AE224" s="10" t="s">
        <v>114</v>
      </c>
      <c r="AF224" s="10">
        <v>5.9524099983008331E-3</v>
      </c>
      <c r="AG224" s="11">
        <v>77.184717766267696</v>
      </c>
      <c r="AH224" s="11">
        <v>0.18800651343172067</v>
      </c>
      <c r="AI224" s="11">
        <v>0.28984881719756644</v>
      </c>
      <c r="AJ224" s="11">
        <v>2.4047662882985502E-2</v>
      </c>
      <c r="AK224" s="11">
        <v>0.13492054861718161</v>
      </c>
      <c r="AL224" s="11">
        <v>2.6692598442927831E-2</v>
      </c>
      <c r="AM224" s="11">
        <v>9.2942233286945151E-3</v>
      </c>
      <c r="AN224" s="11">
        <v>3.770906527221534E-2</v>
      </c>
      <c r="AO224" s="11">
        <v>7.7802524925389615E-3</v>
      </c>
      <c r="AP224" s="11">
        <v>5.1941452922410203E-2</v>
      </c>
      <c r="AQ224" s="11">
        <v>1.3352159602197905E-2</v>
      </c>
      <c r="AR224" s="11">
        <v>4.9994212792623088E-2</v>
      </c>
      <c r="AS224" s="11">
        <v>1.0416873888655295E-2</v>
      </c>
      <c r="AT224" s="11">
        <v>6.7270988801121007E-2</v>
      </c>
      <c r="AU224" s="11">
        <v>1.1447178296703111E-2</v>
      </c>
      <c r="AV224" s="10">
        <v>3.2121859470655783</v>
      </c>
      <c r="AW224" s="10">
        <v>10.215516598984488</v>
      </c>
      <c r="AX224" s="10" t="s">
        <v>114</v>
      </c>
      <c r="AY224" s="10" t="s">
        <v>114</v>
      </c>
      <c r="AZ224" s="10">
        <v>15.69472722948723</v>
      </c>
      <c r="BA224" s="10">
        <v>14.286861052889497</v>
      </c>
      <c r="BB224" s="11">
        <v>14.888334613104535</v>
      </c>
      <c r="BC224" s="11" t="s">
        <v>114</v>
      </c>
      <c r="BD224" s="11">
        <v>32.604646036971488</v>
      </c>
    </row>
    <row r="225" spans="1:56" x14ac:dyDescent="0.3">
      <c r="A225" s="1" t="s">
        <v>72</v>
      </c>
      <c r="B225" t="s">
        <v>61</v>
      </c>
      <c r="C225" s="10">
        <v>3771.531270388944</v>
      </c>
      <c r="D225" s="11">
        <v>841.63983323884861</v>
      </c>
      <c r="E225" s="10">
        <v>53.886615433794347</v>
      </c>
      <c r="F225" s="10">
        <v>140214.58123006689</v>
      </c>
      <c r="G225" s="10" t="s">
        <v>114</v>
      </c>
      <c r="H225" s="10">
        <v>334778.04974958731</v>
      </c>
      <c r="I225" s="11">
        <v>339900.60724362329</v>
      </c>
      <c r="J225" s="10">
        <v>7.0570529857172772</v>
      </c>
      <c r="K225" s="11">
        <v>20.093702510177721</v>
      </c>
      <c r="L225" s="11">
        <v>4.8067518220546646</v>
      </c>
      <c r="M225" s="11">
        <v>565.142646177242</v>
      </c>
      <c r="N225" s="11">
        <v>1019.7692286605994</v>
      </c>
      <c r="O225" s="10">
        <v>1023.185014352376</v>
      </c>
      <c r="P225" s="10">
        <v>1.3813632612094295</v>
      </c>
      <c r="Q225" s="11">
        <v>5.3966343107991417</v>
      </c>
      <c r="R225" s="11">
        <v>14.304874310814261</v>
      </c>
      <c r="S225" s="10">
        <v>14.575635393116521</v>
      </c>
      <c r="T225" s="11">
        <v>272.21477480671405</v>
      </c>
      <c r="U225" s="10">
        <v>261.31700841991972</v>
      </c>
      <c r="V225" s="10">
        <v>8.0709127248562176</v>
      </c>
      <c r="W225" s="10" t="s">
        <v>114</v>
      </c>
      <c r="X225" s="10" t="s">
        <v>114</v>
      </c>
      <c r="Y225" s="11">
        <v>1281.5303924151647</v>
      </c>
      <c r="Z225" s="10">
        <v>6.6631601001078495</v>
      </c>
      <c r="AA225" s="10" t="s">
        <v>114</v>
      </c>
      <c r="AB225" s="10" t="s">
        <v>114</v>
      </c>
      <c r="AC225" s="10">
        <v>0.18732432856299652</v>
      </c>
      <c r="AD225" s="10" t="s">
        <v>114</v>
      </c>
      <c r="AE225" s="10" t="s">
        <v>114</v>
      </c>
      <c r="AF225" s="10">
        <v>1.0040217346457313E-2</v>
      </c>
      <c r="AG225" s="11">
        <v>71.517672255525454</v>
      </c>
      <c r="AH225" s="11">
        <v>1.060568025711353</v>
      </c>
      <c r="AI225" s="11">
        <v>1.8273379907809035</v>
      </c>
      <c r="AJ225" s="11">
        <v>0.15764808451019052</v>
      </c>
      <c r="AK225" s="11">
        <v>0.66319205724255093</v>
      </c>
      <c r="AL225" s="11">
        <v>0.15770777035936159</v>
      </c>
      <c r="AM225" s="11">
        <v>3.8286296363504266E-2</v>
      </c>
      <c r="AN225" s="11">
        <v>0.19922280321043268</v>
      </c>
      <c r="AO225" s="11">
        <v>3.7016311757690261E-2</v>
      </c>
      <c r="AP225" s="11">
        <v>0.29218454852399095</v>
      </c>
      <c r="AQ225" s="11">
        <v>7.2834890602946165E-2</v>
      </c>
      <c r="AR225" s="11">
        <v>0.2590875500323373</v>
      </c>
      <c r="AS225" s="11">
        <v>3.8256647218252372E-2</v>
      </c>
      <c r="AT225" s="11">
        <v>0.27981350570389041</v>
      </c>
      <c r="AU225" s="11">
        <v>4.1440375254165926E-2</v>
      </c>
      <c r="AV225" s="10">
        <v>3.1627898464740309</v>
      </c>
      <c r="AW225" s="10">
        <v>10.558782457375816</v>
      </c>
      <c r="AX225" s="10" t="s">
        <v>114</v>
      </c>
      <c r="AY225" s="10" t="s">
        <v>114</v>
      </c>
      <c r="AZ225" s="10">
        <v>18.367332224299449</v>
      </c>
      <c r="BA225" s="10">
        <v>16.671349003460552</v>
      </c>
      <c r="BB225" s="11">
        <v>17.411042562594613</v>
      </c>
      <c r="BC225" s="11" t="s">
        <v>114</v>
      </c>
      <c r="BD225" s="11">
        <v>42.961233954349844</v>
      </c>
    </row>
    <row r="226" spans="1:56" x14ac:dyDescent="0.3">
      <c r="A226" s="1" t="s">
        <v>73</v>
      </c>
      <c r="B226" t="s">
        <v>61</v>
      </c>
      <c r="C226" s="10">
        <v>4931.4253987219263</v>
      </c>
      <c r="D226" s="11">
        <v>1051.7415259558552</v>
      </c>
      <c r="E226" s="10">
        <v>278.34244244812214</v>
      </c>
      <c r="F226" s="10">
        <v>136810.21680747374</v>
      </c>
      <c r="G226" s="10" t="s">
        <v>114</v>
      </c>
      <c r="H226" s="10">
        <v>334630.31975234108</v>
      </c>
      <c r="I226" s="11">
        <v>342609.08214891941</v>
      </c>
      <c r="J226" s="10">
        <v>12.671061199011415</v>
      </c>
      <c r="K226" s="11">
        <v>43.757772933971403</v>
      </c>
      <c r="L226" s="11">
        <v>10.970110663253253</v>
      </c>
      <c r="M226" s="11">
        <v>1748.4654162059637</v>
      </c>
      <c r="N226" s="11">
        <v>7594.2417350926225</v>
      </c>
      <c r="O226" s="10">
        <v>7736.3692848441533</v>
      </c>
      <c r="P226" s="10">
        <v>22.877676853876405</v>
      </c>
      <c r="Q226" s="11">
        <v>28.544649077161033</v>
      </c>
      <c r="R226" s="11">
        <v>73.587603560162577</v>
      </c>
      <c r="S226" s="10">
        <v>72.568362832803544</v>
      </c>
      <c r="T226" s="11">
        <v>139.34016673800974</v>
      </c>
      <c r="U226" s="10">
        <v>135.08139267785995</v>
      </c>
      <c r="V226" s="10">
        <v>40.670125263863042</v>
      </c>
      <c r="W226" s="10" t="s">
        <v>114</v>
      </c>
      <c r="X226" s="10" t="s">
        <v>114</v>
      </c>
      <c r="Y226" s="11">
        <v>1583.7306734893361</v>
      </c>
      <c r="Z226" s="10">
        <v>8.5949772559193498</v>
      </c>
      <c r="AA226" s="10">
        <v>1.5171676598412411</v>
      </c>
      <c r="AB226" s="10">
        <v>1.5265584155019523</v>
      </c>
      <c r="AC226" s="10" t="s">
        <v>114</v>
      </c>
      <c r="AD226" s="10" t="s">
        <v>114</v>
      </c>
      <c r="AE226" s="10" t="s">
        <v>114</v>
      </c>
      <c r="AF226" s="10">
        <v>7.2695061697213457E-3</v>
      </c>
      <c r="AG226" s="11">
        <v>59.192699325655894</v>
      </c>
      <c r="AH226" s="11">
        <v>0.49765295528722464</v>
      </c>
      <c r="AI226" s="11">
        <v>0.53824033761247603</v>
      </c>
      <c r="AJ226" s="11">
        <v>5.9635658138565764E-2</v>
      </c>
      <c r="AK226" s="11">
        <v>0.23691128223138627</v>
      </c>
      <c r="AL226" s="11">
        <v>4.4181624756191168E-2</v>
      </c>
      <c r="AM226" s="11">
        <v>1.0071012393829581E-2</v>
      </c>
      <c r="AN226" s="11">
        <v>6.959484485964551E-2</v>
      </c>
      <c r="AO226" s="11">
        <v>1.2369346774085259E-2</v>
      </c>
      <c r="AP226" s="11">
        <v>9.3948366018277205E-2</v>
      </c>
      <c r="AQ226" s="11">
        <v>2.4497465878785974E-2</v>
      </c>
      <c r="AR226" s="11">
        <v>8.7239055727340434E-2</v>
      </c>
      <c r="AS226" s="11">
        <v>1.5264939451240763E-2</v>
      </c>
      <c r="AT226" s="11">
        <v>0.10688970693945016</v>
      </c>
      <c r="AU226" s="11">
        <v>1.6299468689521639E-2</v>
      </c>
      <c r="AV226" s="10">
        <v>3.2283733032336324</v>
      </c>
      <c r="AW226" s="10">
        <v>10.692885659149166</v>
      </c>
      <c r="AX226" s="10" t="s">
        <v>114</v>
      </c>
      <c r="AY226" s="10" t="s">
        <v>114</v>
      </c>
      <c r="AZ226" s="10">
        <v>17.084653449968656</v>
      </c>
      <c r="BA226" s="10">
        <v>15.418760436783995</v>
      </c>
      <c r="BB226" s="11">
        <v>16.164484482063223</v>
      </c>
      <c r="BC226" s="11" t="s">
        <v>114</v>
      </c>
      <c r="BD226" s="11">
        <v>48.224745666775654</v>
      </c>
    </row>
    <row r="227" spans="1:56" x14ac:dyDescent="0.3">
      <c r="A227" s="1" t="s">
        <v>74</v>
      </c>
      <c r="B227" t="s">
        <v>61</v>
      </c>
      <c r="C227" s="10">
        <v>4179.5807075579696</v>
      </c>
      <c r="D227" s="11">
        <v>1088.5264176683654</v>
      </c>
      <c r="E227" s="10">
        <v>134.01487609892419</v>
      </c>
      <c r="F227" s="10">
        <v>150352.89050178055</v>
      </c>
      <c r="G227" s="10" t="s">
        <v>114</v>
      </c>
      <c r="H227" s="10">
        <v>355805.707997169</v>
      </c>
      <c r="I227" s="11">
        <v>361764.79507790646</v>
      </c>
      <c r="J227" s="10" t="s">
        <v>114</v>
      </c>
      <c r="K227" s="11">
        <v>43.556417817645411</v>
      </c>
      <c r="L227" s="11">
        <v>14.111193036327943</v>
      </c>
      <c r="M227" s="11">
        <v>555.0223487658011</v>
      </c>
      <c r="N227" s="11">
        <v>7766.8862487936285</v>
      </c>
      <c r="O227" s="10">
        <v>7708.5169099762852</v>
      </c>
      <c r="P227" s="10">
        <v>6.5709280215324881</v>
      </c>
      <c r="Q227" s="11">
        <v>16.433647368357896</v>
      </c>
      <c r="R227" s="11">
        <v>18.041127363195613</v>
      </c>
      <c r="S227" s="10">
        <v>18.49690766189854</v>
      </c>
      <c r="T227" s="11">
        <v>97.808685849022652</v>
      </c>
      <c r="U227" s="10">
        <v>94.035719471765802</v>
      </c>
      <c r="V227" s="10">
        <v>45.137955872035327</v>
      </c>
      <c r="W227" s="10" t="s">
        <v>114</v>
      </c>
      <c r="X227" s="10" t="s">
        <v>114</v>
      </c>
      <c r="Y227" s="11">
        <v>1269.0530445768904</v>
      </c>
      <c r="Z227" s="10">
        <v>7.8360181776386373</v>
      </c>
      <c r="AA227" s="10" t="s">
        <v>114</v>
      </c>
      <c r="AB227" s="10" t="s">
        <v>114</v>
      </c>
      <c r="AC227" s="10" t="s">
        <v>114</v>
      </c>
      <c r="AD227" s="10" t="s">
        <v>114</v>
      </c>
      <c r="AE227" s="10" t="s">
        <v>114</v>
      </c>
      <c r="AF227" s="10">
        <v>6.2373884001634058E-3</v>
      </c>
      <c r="AG227" s="11">
        <v>38.23269081776224</v>
      </c>
      <c r="AH227" s="11" t="s">
        <v>114</v>
      </c>
      <c r="AI227" s="11" t="s">
        <v>114</v>
      </c>
      <c r="AJ227" s="11" t="s">
        <v>114</v>
      </c>
      <c r="AK227" s="11" t="s">
        <v>114</v>
      </c>
      <c r="AL227" s="11">
        <v>1.4246684322771907E-2</v>
      </c>
      <c r="AM227" s="11">
        <v>3.7226853624308838E-3</v>
      </c>
      <c r="AN227" s="11">
        <v>1.0429473488022594E-2</v>
      </c>
      <c r="AO227" s="11" t="s">
        <v>114</v>
      </c>
      <c r="AP227" s="11" t="s">
        <v>114</v>
      </c>
      <c r="AQ227" s="11" t="s">
        <v>114</v>
      </c>
      <c r="AR227" s="11">
        <v>1.1781972832122525E-2</v>
      </c>
      <c r="AS227" s="11" t="s">
        <v>114</v>
      </c>
      <c r="AT227" s="11">
        <v>1.1403171342186868E-2</v>
      </c>
      <c r="AU227" s="11" t="s">
        <v>114</v>
      </c>
      <c r="AV227" s="10">
        <v>2.4285358700698203</v>
      </c>
      <c r="AW227" s="10">
        <v>11.038313337880147</v>
      </c>
      <c r="AX227" s="10" t="s">
        <v>114</v>
      </c>
      <c r="AY227" s="10" t="s">
        <v>114</v>
      </c>
      <c r="AZ227" s="10">
        <v>6.9386738204680656</v>
      </c>
      <c r="BA227" s="10">
        <v>6.430790920304462</v>
      </c>
      <c r="BB227" s="11">
        <v>6.6398428325192516</v>
      </c>
      <c r="BC227" s="11" t="s">
        <v>114</v>
      </c>
      <c r="BD227" s="11">
        <v>46.724425563184539</v>
      </c>
    </row>
    <row r="228" spans="1:56" x14ac:dyDescent="0.3">
      <c r="A228" s="1" t="s">
        <v>75</v>
      </c>
      <c r="B228" t="s">
        <v>61</v>
      </c>
      <c r="C228" s="10">
        <v>4544.3889666719406</v>
      </c>
      <c r="D228" s="11">
        <v>940.22858632748932</v>
      </c>
      <c r="E228" s="10">
        <v>44.823816856017039</v>
      </c>
      <c r="F228" s="10">
        <v>157429.6505836646</v>
      </c>
      <c r="G228" s="10" t="s">
        <v>114</v>
      </c>
      <c r="H228" s="10">
        <v>370118.17651545041</v>
      </c>
      <c r="I228" s="11">
        <v>377021.37481260835</v>
      </c>
      <c r="J228" s="10" t="s">
        <v>114</v>
      </c>
      <c r="K228" s="11">
        <v>34.541417588571122</v>
      </c>
      <c r="L228" s="11">
        <v>7.5328861013011963</v>
      </c>
      <c r="M228" s="11">
        <v>390.97284681169987</v>
      </c>
      <c r="N228" s="11">
        <v>1060.4522833563706</v>
      </c>
      <c r="O228" s="10">
        <v>1067.4959380759751</v>
      </c>
      <c r="P228" s="10">
        <v>1.2386138008669805</v>
      </c>
      <c r="Q228" s="11">
        <v>5.4200820844460544</v>
      </c>
      <c r="R228" s="11">
        <v>14.610926122995105</v>
      </c>
      <c r="S228" s="10">
        <v>14.609039988999079</v>
      </c>
      <c r="T228" s="11">
        <v>116.66716468841025</v>
      </c>
      <c r="U228" s="10">
        <v>112.11842705447904</v>
      </c>
      <c r="V228" s="10">
        <v>8.0519787647610759</v>
      </c>
      <c r="W228" s="10" t="s">
        <v>114</v>
      </c>
      <c r="X228" s="10">
        <v>0.26581000018671108</v>
      </c>
      <c r="Y228" s="11">
        <v>1302.7695586407126</v>
      </c>
      <c r="Z228" s="10">
        <v>8.121645144783928</v>
      </c>
      <c r="AA228" s="10" t="s">
        <v>114</v>
      </c>
      <c r="AB228" s="10" t="s">
        <v>114</v>
      </c>
      <c r="AC228" s="10" t="s">
        <v>114</v>
      </c>
      <c r="AD228" s="10" t="s">
        <v>114</v>
      </c>
      <c r="AE228" s="10" t="s">
        <v>114</v>
      </c>
      <c r="AF228" s="10">
        <v>8.6464374803977007E-3</v>
      </c>
      <c r="AG228" s="11">
        <v>38.55123383778092</v>
      </c>
      <c r="AH228" s="11" t="s">
        <v>114</v>
      </c>
      <c r="AI228" s="11" t="s">
        <v>114</v>
      </c>
      <c r="AJ228" s="11" t="s">
        <v>114</v>
      </c>
      <c r="AK228" s="11" t="s">
        <v>114</v>
      </c>
      <c r="AL228" s="11" t="s">
        <v>114</v>
      </c>
      <c r="AM228" s="11" t="s">
        <v>114</v>
      </c>
      <c r="AN228" s="11">
        <v>1.1511193530839207E-2</v>
      </c>
      <c r="AO228" s="11" t="s">
        <v>114</v>
      </c>
      <c r="AP228" s="11" t="s">
        <v>114</v>
      </c>
      <c r="AQ228" s="11" t="s">
        <v>114</v>
      </c>
      <c r="AR228" s="11">
        <v>1.1927996363963611E-2</v>
      </c>
      <c r="AS228" s="11" t="s">
        <v>114</v>
      </c>
      <c r="AT228" s="11">
        <v>1.238820178297075E-2</v>
      </c>
      <c r="AU228" s="11">
        <v>3.6493976064952E-3</v>
      </c>
      <c r="AV228" s="10">
        <v>3.7364005567652625</v>
      </c>
      <c r="AW228" s="10">
        <v>10.664090159575546</v>
      </c>
      <c r="AX228" s="10" t="s">
        <v>114</v>
      </c>
      <c r="AY228" s="10" t="s">
        <v>114</v>
      </c>
      <c r="AZ228" s="10">
        <v>11.745096379817276</v>
      </c>
      <c r="BA228" s="10">
        <v>10.564820879594196</v>
      </c>
      <c r="BB228" s="11">
        <v>11.073270392838428</v>
      </c>
      <c r="BC228" s="11" t="s">
        <v>114</v>
      </c>
      <c r="BD228" s="11">
        <v>36.360855483429098</v>
      </c>
    </row>
    <row r="229" spans="1:56" x14ac:dyDescent="0.3">
      <c r="A229" s="1" t="s">
        <v>76</v>
      </c>
      <c r="B229" t="s">
        <v>61</v>
      </c>
      <c r="C229" s="10">
        <v>5414.0565464758083</v>
      </c>
      <c r="D229" s="11">
        <v>1377.3276441874955</v>
      </c>
      <c r="E229" s="10">
        <v>245.67001722743063</v>
      </c>
      <c r="F229" s="10">
        <v>142065.13795819556</v>
      </c>
      <c r="G229" s="10" t="s">
        <v>114</v>
      </c>
      <c r="H229" s="10">
        <v>343581.01988438907</v>
      </c>
      <c r="I229" s="11">
        <v>350140.99323402008</v>
      </c>
      <c r="J229" s="10" t="s">
        <v>114</v>
      </c>
      <c r="K229" s="11">
        <v>57.971026320347129</v>
      </c>
      <c r="L229" s="11">
        <v>8.0521872011736484</v>
      </c>
      <c r="M229" s="11">
        <v>1294.6688071168505</v>
      </c>
      <c r="N229" s="11">
        <v>12922.256220958549</v>
      </c>
      <c r="O229" s="10">
        <v>13044.867110433066</v>
      </c>
      <c r="P229" s="10">
        <v>23.881526969409574</v>
      </c>
      <c r="Q229" s="11">
        <v>31.306902383346205</v>
      </c>
      <c r="R229" s="11">
        <v>59.008335218468844</v>
      </c>
      <c r="S229" s="10">
        <v>59.886905843611025</v>
      </c>
      <c r="T229" s="11">
        <v>146.79232107215583</v>
      </c>
      <c r="U229" s="10">
        <v>142.8972254709704</v>
      </c>
      <c r="V229" s="10">
        <v>78.5429690599792</v>
      </c>
      <c r="W229" s="10" t="s">
        <v>114</v>
      </c>
      <c r="X229" s="10" t="s">
        <v>114</v>
      </c>
      <c r="Y229" s="11">
        <v>1488.1137923274757</v>
      </c>
      <c r="Z229" s="10">
        <v>10.021617234744635</v>
      </c>
      <c r="AA229" s="10">
        <v>0.99827542225895061</v>
      </c>
      <c r="AB229" s="10">
        <v>1.0642349551980987</v>
      </c>
      <c r="AC229" s="10">
        <v>6.0604932608725841E-2</v>
      </c>
      <c r="AD229" s="10" t="s">
        <v>114</v>
      </c>
      <c r="AE229" s="10" t="s">
        <v>114</v>
      </c>
      <c r="AF229" s="10">
        <v>7.2253502588408482E-3</v>
      </c>
      <c r="AG229" s="11">
        <v>59.718096682440752</v>
      </c>
      <c r="AH229" s="11">
        <v>0.18594766803636836</v>
      </c>
      <c r="AI229" s="11">
        <v>0.16961256158390448</v>
      </c>
      <c r="AJ229" s="11">
        <v>1.883524462360478E-2</v>
      </c>
      <c r="AK229" s="11">
        <v>6.6123677019527358E-2</v>
      </c>
      <c r="AL229" s="11">
        <v>1.8178405855566463E-2</v>
      </c>
      <c r="AM229" s="11">
        <v>7.6274501016932901E-3</v>
      </c>
      <c r="AN229" s="11">
        <v>2.4251278501999058E-2</v>
      </c>
      <c r="AO229" s="11">
        <v>5.2750038973998865E-3</v>
      </c>
      <c r="AP229" s="11">
        <v>3.3313638215813179E-2</v>
      </c>
      <c r="AQ229" s="11">
        <v>1.1076604542784061E-2</v>
      </c>
      <c r="AR229" s="11">
        <v>4.1769076103746278E-2</v>
      </c>
      <c r="AS229" s="11">
        <v>7.2135993789201065E-3</v>
      </c>
      <c r="AT229" s="11">
        <v>6.037033164926088E-2</v>
      </c>
      <c r="AU229" s="11">
        <v>1.1090913106682043E-2</v>
      </c>
      <c r="AV229" s="10">
        <v>2.8839965095907436</v>
      </c>
      <c r="AW229" s="10">
        <v>10.973168151915525</v>
      </c>
      <c r="AX229" s="10" t="s">
        <v>114</v>
      </c>
      <c r="AY229" s="10" t="s">
        <v>114</v>
      </c>
      <c r="AZ229" s="10">
        <v>316.87181926858352</v>
      </c>
      <c r="BA229" s="10">
        <v>286.25918257680388</v>
      </c>
      <c r="BB229" s="11">
        <v>299.86959822594798</v>
      </c>
      <c r="BC229" s="11" t="s">
        <v>114</v>
      </c>
      <c r="BD229" s="11">
        <v>46.757687631575195</v>
      </c>
    </row>
    <row r="230" spans="1:56" x14ac:dyDescent="0.3">
      <c r="A230" s="1" t="s">
        <v>77</v>
      </c>
      <c r="B230" t="s">
        <v>61</v>
      </c>
      <c r="C230" s="10">
        <v>4247.7625383667246</v>
      </c>
      <c r="D230" s="11">
        <v>1193.0490328908761</v>
      </c>
      <c r="E230" s="10">
        <v>69.228441257924857</v>
      </c>
      <c r="F230" s="10">
        <v>142478.40894705005</v>
      </c>
      <c r="G230" s="10" t="s">
        <v>114</v>
      </c>
      <c r="H230" s="10">
        <v>351147.0112136713</v>
      </c>
      <c r="I230" s="11">
        <v>355577.72696029401</v>
      </c>
      <c r="J230" s="10" t="s">
        <v>114</v>
      </c>
      <c r="K230" s="11">
        <v>77.353748983995473</v>
      </c>
      <c r="L230" s="11">
        <v>21.455923398601644</v>
      </c>
      <c r="M230" s="11">
        <v>1394.1197089958068</v>
      </c>
      <c r="N230" s="11">
        <v>12625.993431992685</v>
      </c>
      <c r="O230" s="10">
        <v>12759.67711316346</v>
      </c>
      <c r="P230" s="10">
        <v>29.957648534594838</v>
      </c>
      <c r="Q230" s="11">
        <v>31.226695935415737</v>
      </c>
      <c r="R230" s="11">
        <v>34.233325764214165</v>
      </c>
      <c r="S230" s="10">
        <v>34.401147855916982</v>
      </c>
      <c r="T230" s="11">
        <v>127.87374458945835</v>
      </c>
      <c r="U230" s="10">
        <v>126.80571044119183</v>
      </c>
      <c r="V230" s="10">
        <v>101.39591182109992</v>
      </c>
      <c r="W230" s="10" t="s">
        <v>114</v>
      </c>
      <c r="X230" s="10">
        <v>0.30227772092287164</v>
      </c>
      <c r="Y230" s="11">
        <v>1388.5172435053673</v>
      </c>
      <c r="Z230" s="10">
        <v>10.460701598935685</v>
      </c>
      <c r="AA230" s="10">
        <v>1.3669114830678</v>
      </c>
      <c r="AB230" s="10">
        <v>1.4112863083898666</v>
      </c>
      <c r="AC230" s="10" t="s">
        <v>114</v>
      </c>
      <c r="AD230" s="10" t="s">
        <v>114</v>
      </c>
      <c r="AE230" s="10" t="s">
        <v>114</v>
      </c>
      <c r="AF230" s="10">
        <v>1.091309358632808E-2</v>
      </c>
      <c r="AG230" s="11">
        <v>76.57172093246048</v>
      </c>
      <c r="AH230" s="11">
        <v>0.11142234229560841</v>
      </c>
      <c r="AI230" s="11" t="s">
        <v>114</v>
      </c>
      <c r="AJ230" s="11" t="s">
        <v>114</v>
      </c>
      <c r="AK230" s="11" t="s">
        <v>114</v>
      </c>
      <c r="AL230" s="11">
        <v>1.089371108231506E-2</v>
      </c>
      <c r="AM230" s="11" t="s">
        <v>114</v>
      </c>
      <c r="AN230" s="11">
        <v>1.54627120950108E-2</v>
      </c>
      <c r="AO230" s="11" t="s">
        <v>114</v>
      </c>
      <c r="AP230" s="11">
        <v>2.240036777140424E-2</v>
      </c>
      <c r="AQ230" s="11">
        <v>4.9437522115036922E-3</v>
      </c>
      <c r="AR230" s="11">
        <v>3.326269220123123E-2</v>
      </c>
      <c r="AS230" s="11">
        <v>4.6602424524948161E-3</v>
      </c>
      <c r="AT230" s="11">
        <v>4.1611112282386828E-2</v>
      </c>
      <c r="AU230" s="11">
        <v>6.7577817051365802E-3</v>
      </c>
      <c r="AV230" s="10">
        <v>2.9023552188380402</v>
      </c>
      <c r="AW230" s="10">
        <v>10.944934639222284</v>
      </c>
      <c r="AX230" s="10" t="s">
        <v>114</v>
      </c>
      <c r="AY230" s="10" t="s">
        <v>114</v>
      </c>
      <c r="AZ230" s="10">
        <v>23.637203764941312</v>
      </c>
      <c r="BA230" s="10">
        <v>21.515520094776633</v>
      </c>
      <c r="BB230" s="11">
        <v>22.476432857783262</v>
      </c>
      <c r="BC230" s="11" t="s">
        <v>114</v>
      </c>
      <c r="BD230" s="11">
        <v>45.135979109775434</v>
      </c>
    </row>
    <row r="231" spans="1:56" x14ac:dyDescent="0.3">
      <c r="A231" s="1" t="s">
        <v>78</v>
      </c>
      <c r="B231" t="s">
        <v>61</v>
      </c>
      <c r="C231" s="10">
        <v>5694.8729352646269</v>
      </c>
      <c r="D231" s="11">
        <v>1388.5447703270186</v>
      </c>
      <c r="E231" s="10">
        <v>59.460863763384218</v>
      </c>
      <c r="F231" s="10">
        <v>138706.55591371449</v>
      </c>
      <c r="G231" s="10" t="s">
        <v>114</v>
      </c>
      <c r="H231" s="10">
        <v>342869.89390181046</v>
      </c>
      <c r="I231" s="11">
        <v>350832.94413295819</v>
      </c>
      <c r="J231" s="10" t="s">
        <v>114</v>
      </c>
      <c r="K231" s="11">
        <v>39.316083645355086</v>
      </c>
      <c r="L231" s="11">
        <v>8.1188703343145576</v>
      </c>
      <c r="M231" s="11">
        <v>2386.6489479845118</v>
      </c>
      <c r="N231" s="11">
        <v>4002.6951692867633</v>
      </c>
      <c r="O231" s="10">
        <v>4002.5423548175172</v>
      </c>
      <c r="P231" s="10">
        <v>46.953538246289817</v>
      </c>
      <c r="Q231" s="11">
        <v>30.728175028237082</v>
      </c>
      <c r="R231" s="11">
        <v>34.321223140153919</v>
      </c>
      <c r="S231" s="10">
        <v>34.510640962043183</v>
      </c>
      <c r="T231" s="11">
        <v>153.84846026803717</v>
      </c>
      <c r="U231" s="10">
        <v>150.88113175872385</v>
      </c>
      <c r="V231" s="10">
        <v>27.844377269729481</v>
      </c>
      <c r="W231" s="10" t="s">
        <v>114</v>
      </c>
      <c r="X231" s="10" t="s">
        <v>114</v>
      </c>
      <c r="Y231" s="11">
        <v>1756.2291186308528</v>
      </c>
      <c r="Z231" s="10">
        <v>8.1837113312446164</v>
      </c>
      <c r="AA231" s="10">
        <v>0.89414653286717349</v>
      </c>
      <c r="AB231" s="10">
        <v>0.8049901529983583</v>
      </c>
      <c r="AC231" s="10">
        <v>0.1186196097552675</v>
      </c>
      <c r="AD231" s="10" t="s">
        <v>114</v>
      </c>
      <c r="AE231" s="10" t="s">
        <v>114</v>
      </c>
      <c r="AF231" s="10">
        <v>1.0469369699754087E-2</v>
      </c>
      <c r="AG231" s="11">
        <v>88.017470919912341</v>
      </c>
      <c r="AH231" s="11" t="s">
        <v>114</v>
      </c>
      <c r="AI231" s="11" t="s">
        <v>114</v>
      </c>
      <c r="AJ231" s="11" t="s">
        <v>114</v>
      </c>
      <c r="AK231" s="11" t="s">
        <v>114</v>
      </c>
      <c r="AL231" s="11" t="s">
        <v>114</v>
      </c>
      <c r="AM231" s="11" t="s">
        <v>114</v>
      </c>
      <c r="AN231" s="11" t="s">
        <v>114</v>
      </c>
      <c r="AO231" s="11" t="s">
        <v>114</v>
      </c>
      <c r="AP231" s="11" t="s">
        <v>114</v>
      </c>
      <c r="AQ231" s="11" t="s">
        <v>114</v>
      </c>
      <c r="AR231" s="11">
        <v>1.4066753191034388E-2</v>
      </c>
      <c r="AS231" s="11" t="s">
        <v>114</v>
      </c>
      <c r="AT231" s="11">
        <v>1.8013770004278899E-2</v>
      </c>
      <c r="AU231" s="11">
        <v>2.8777393543042156E-3</v>
      </c>
      <c r="AV231" s="10">
        <v>2.2270274702037463</v>
      </c>
      <c r="AW231" s="10">
        <v>10.095860039139055</v>
      </c>
      <c r="AX231" s="10" t="s">
        <v>114</v>
      </c>
      <c r="AY231" s="10" t="s">
        <v>114</v>
      </c>
      <c r="AZ231" s="10">
        <v>45.494720173299143</v>
      </c>
      <c r="BA231" s="10">
        <v>40.871301060592742</v>
      </c>
      <c r="BB231" s="11">
        <v>42.959705261806462</v>
      </c>
      <c r="BC231" s="11" t="s">
        <v>114</v>
      </c>
      <c r="BD231" s="11">
        <v>52.909797711972857</v>
      </c>
    </row>
    <row r="232" spans="1:56" x14ac:dyDescent="0.3">
      <c r="A232" s="1" t="s">
        <v>79</v>
      </c>
      <c r="B232" t="s">
        <v>61</v>
      </c>
      <c r="C232" s="10">
        <v>4788.7594735778712</v>
      </c>
      <c r="D232" s="11">
        <v>1006.4816575253436</v>
      </c>
      <c r="E232" s="10">
        <v>87.611269344704027</v>
      </c>
      <c r="F232" s="10">
        <v>129540.32518295906</v>
      </c>
      <c r="G232" s="10" t="s">
        <v>114</v>
      </c>
      <c r="H232" s="10">
        <v>313660.23071653862</v>
      </c>
      <c r="I232" s="11">
        <v>322388.45886477717</v>
      </c>
      <c r="J232" s="10">
        <v>5.2827388348416768</v>
      </c>
      <c r="K232" s="11">
        <v>41.679782687223728</v>
      </c>
      <c r="L232" s="11">
        <v>11.524532889466325</v>
      </c>
      <c r="M232" s="11">
        <v>591.42301415410248</v>
      </c>
      <c r="N232" s="11">
        <v>4195.0886035118838</v>
      </c>
      <c r="O232" s="10">
        <v>4201.0996976192964</v>
      </c>
      <c r="P232" s="10">
        <v>2.2564940664297275</v>
      </c>
      <c r="Q232" s="11">
        <v>9.122732551819464</v>
      </c>
      <c r="R232" s="11">
        <v>15.944924195760667</v>
      </c>
      <c r="S232" s="10">
        <v>16.341988140759394</v>
      </c>
      <c r="T232" s="11">
        <v>110.07073740795811</v>
      </c>
      <c r="U232" s="10">
        <v>108.08706157887673</v>
      </c>
      <c r="V232" s="10">
        <v>23.121092946173892</v>
      </c>
      <c r="W232" s="10" t="s">
        <v>114</v>
      </c>
      <c r="X232" s="10" t="s">
        <v>114</v>
      </c>
      <c r="Y232" s="11">
        <v>1487.3042964048807</v>
      </c>
      <c r="Z232" s="10">
        <v>7.5114658569652235</v>
      </c>
      <c r="AA232" s="10" t="s">
        <v>114</v>
      </c>
      <c r="AB232" s="10" t="s">
        <v>114</v>
      </c>
      <c r="AC232" s="10" t="s">
        <v>114</v>
      </c>
      <c r="AD232" s="10" t="s">
        <v>114</v>
      </c>
      <c r="AE232" s="10" t="s">
        <v>114</v>
      </c>
      <c r="AF232" s="10">
        <v>8.2970200241514244E-3</v>
      </c>
      <c r="AG232" s="11">
        <v>44.352219404789295</v>
      </c>
      <c r="AH232" s="11">
        <v>0.2363116221520373</v>
      </c>
      <c r="AI232" s="11">
        <v>0.26267718212081004</v>
      </c>
      <c r="AJ232" s="11">
        <v>2.2311298224085972E-2</v>
      </c>
      <c r="AK232" s="11">
        <v>9.5236496203483942E-2</v>
      </c>
      <c r="AL232" s="11">
        <v>1.936511926517618E-2</v>
      </c>
      <c r="AM232" s="11">
        <v>4.7671472143842684E-3</v>
      </c>
      <c r="AN232" s="11">
        <v>3.3262004747252272E-2</v>
      </c>
      <c r="AO232" s="11">
        <v>6.796884722115642E-3</v>
      </c>
      <c r="AP232" s="11">
        <v>5.7962375412628796E-2</v>
      </c>
      <c r="AQ232" s="11">
        <v>1.5749564962297263E-2</v>
      </c>
      <c r="AR232" s="11">
        <v>5.9067528963736765E-2</v>
      </c>
      <c r="AS232" s="11">
        <v>1.0809117866697832E-2</v>
      </c>
      <c r="AT232" s="11">
        <v>8.2176198773769291E-2</v>
      </c>
      <c r="AU232" s="11">
        <v>1.5160390252758298E-2</v>
      </c>
      <c r="AV232" s="10">
        <v>1.7030385163896318</v>
      </c>
      <c r="AW232" s="10">
        <v>9.2217910758446138</v>
      </c>
      <c r="AX232" s="10" t="s">
        <v>114</v>
      </c>
      <c r="AY232" s="10" t="s">
        <v>114</v>
      </c>
      <c r="AZ232" s="10">
        <v>26.884616735087008</v>
      </c>
      <c r="BA232" s="10">
        <v>24.209245068814667</v>
      </c>
      <c r="BB232" s="11">
        <v>25.384339327752915</v>
      </c>
      <c r="BC232" s="11" t="s">
        <v>114</v>
      </c>
      <c r="BD232" s="11">
        <v>53.533933119103189</v>
      </c>
    </row>
    <row r="233" spans="1:56" x14ac:dyDescent="0.3">
      <c r="A233" s="1" t="s">
        <v>80</v>
      </c>
      <c r="B233" t="s">
        <v>61</v>
      </c>
      <c r="C233" s="10">
        <v>4720.6659147891532</v>
      </c>
      <c r="D233" s="11">
        <v>936.41217729375023</v>
      </c>
      <c r="E233" s="10">
        <v>283.08090436121751</v>
      </c>
      <c r="F233" s="10">
        <v>136738.87998248806</v>
      </c>
      <c r="G233" s="10" t="s">
        <v>114</v>
      </c>
      <c r="H233" s="10">
        <v>330291.99922119081</v>
      </c>
      <c r="I233" s="11">
        <v>334690.79856537172</v>
      </c>
      <c r="J233" s="10">
        <v>17.389690637542067</v>
      </c>
      <c r="K233" s="11">
        <v>44.429961759071183</v>
      </c>
      <c r="L233" s="11">
        <v>28.895627601652809</v>
      </c>
      <c r="M233" s="11">
        <v>1150.0604936795519</v>
      </c>
      <c r="N233" s="11">
        <v>7242.2904573701317</v>
      </c>
      <c r="O233" s="10">
        <v>7212.608981005179</v>
      </c>
      <c r="P233" s="10">
        <v>3.9583116982352369</v>
      </c>
      <c r="Q233" s="11">
        <v>17.793670106867729</v>
      </c>
      <c r="R233" s="11">
        <v>30.214299035192248</v>
      </c>
      <c r="S233" s="10">
        <v>29.548662756725999</v>
      </c>
      <c r="T233" s="11">
        <v>196.01645425723109</v>
      </c>
      <c r="U233" s="10">
        <v>184.36190257227364</v>
      </c>
      <c r="V233" s="10">
        <v>25.764305085122739</v>
      </c>
      <c r="W233" s="10" t="s">
        <v>114</v>
      </c>
      <c r="X233" s="10" t="s">
        <v>114</v>
      </c>
      <c r="Y233" s="11">
        <v>1259.5157228460002</v>
      </c>
      <c r="Z233" s="10">
        <v>8.1406276089009033</v>
      </c>
      <c r="AA233" s="10">
        <v>1.0891075427385926</v>
      </c>
      <c r="AB233" s="10">
        <v>0.81227734927893858</v>
      </c>
      <c r="AC233" s="10">
        <v>0.40018307845044848</v>
      </c>
      <c r="AD233" s="10" t="s">
        <v>114</v>
      </c>
      <c r="AE233" s="10" t="s">
        <v>114</v>
      </c>
      <c r="AF233" s="10">
        <v>9.1086592061725199E-3</v>
      </c>
      <c r="AG233" s="11">
        <v>48.468450314669823</v>
      </c>
      <c r="AH233" s="11">
        <v>1.8672022470934611</v>
      </c>
      <c r="AI233" s="11">
        <v>3.1190687052624435</v>
      </c>
      <c r="AJ233" s="11">
        <v>0.29363824734806859</v>
      </c>
      <c r="AK233" s="11">
        <v>1.3233124712099884</v>
      </c>
      <c r="AL233" s="11">
        <v>0.28128070402140176</v>
      </c>
      <c r="AM233" s="11">
        <v>7.0168112556844908E-2</v>
      </c>
      <c r="AN233" s="11">
        <v>0.34667147266576054</v>
      </c>
      <c r="AO233" s="11">
        <v>5.8282704988965289E-2</v>
      </c>
      <c r="AP233" s="11">
        <v>0.44068783533287081</v>
      </c>
      <c r="AQ233" s="11">
        <v>0.10869596601500453</v>
      </c>
      <c r="AR233" s="11">
        <v>0.36706583038202173</v>
      </c>
      <c r="AS233" s="11">
        <v>5.2749603066137553E-2</v>
      </c>
      <c r="AT233" s="11">
        <v>0.37765403169590511</v>
      </c>
      <c r="AU233" s="11">
        <v>5.5304550420801228E-2</v>
      </c>
      <c r="AV233" s="10">
        <v>1.7141776906761632</v>
      </c>
      <c r="AW233" s="10">
        <v>9.490487766852306</v>
      </c>
      <c r="AX233" s="10" t="s">
        <v>114</v>
      </c>
      <c r="AY233" s="10" t="s">
        <v>114</v>
      </c>
      <c r="AZ233" s="10">
        <v>22.330095776040398</v>
      </c>
      <c r="BA233" s="10">
        <v>20.217870484733663</v>
      </c>
      <c r="BB233" s="11">
        <v>21.174483675131526</v>
      </c>
      <c r="BC233" s="11" t="s">
        <v>114</v>
      </c>
      <c r="BD233" s="11">
        <v>40.355702256982624</v>
      </c>
    </row>
    <row r="234" spans="1:56" x14ac:dyDescent="0.3">
      <c r="A234" s="1" t="s">
        <v>81</v>
      </c>
      <c r="B234" t="s">
        <v>61</v>
      </c>
      <c r="C234" s="10">
        <v>3763.3916890851929</v>
      </c>
      <c r="D234" s="11">
        <v>927.46204447121647</v>
      </c>
      <c r="E234" s="10">
        <v>100.86380636234901</v>
      </c>
      <c r="F234" s="10">
        <v>130026.71662591165</v>
      </c>
      <c r="G234" s="10" t="s">
        <v>114</v>
      </c>
      <c r="H234" s="10">
        <v>310612.07293152472</v>
      </c>
      <c r="I234" s="11">
        <v>317681.16465655994</v>
      </c>
      <c r="J234" s="10">
        <v>5.0595435039262586</v>
      </c>
      <c r="K234" s="11">
        <v>45.357122139449068</v>
      </c>
      <c r="L234" s="11">
        <v>14.135225004908047</v>
      </c>
      <c r="M234" s="11">
        <v>2076.188763906553</v>
      </c>
      <c r="N234" s="11">
        <v>6000.2934256324424</v>
      </c>
      <c r="O234" s="10">
        <v>5965.355528366239</v>
      </c>
      <c r="P234" s="10">
        <v>29.959560016201547</v>
      </c>
      <c r="Q234" s="11">
        <v>32.124602596116851</v>
      </c>
      <c r="R234" s="11">
        <v>29.703247068663117</v>
      </c>
      <c r="S234" s="10">
        <v>29.874025379921438</v>
      </c>
      <c r="T234" s="11">
        <v>123.69222270479277</v>
      </c>
      <c r="U234" s="10">
        <v>120.81607011462646</v>
      </c>
      <c r="V234" s="10">
        <v>35.8650778318489</v>
      </c>
      <c r="W234" s="10" t="s">
        <v>114</v>
      </c>
      <c r="X234" s="10" t="s">
        <v>114</v>
      </c>
      <c r="Y234" s="11">
        <v>1215.8808886870997</v>
      </c>
      <c r="Z234" s="10">
        <v>7.4478198974405991</v>
      </c>
      <c r="AA234" s="10">
        <v>0.81371109805733655</v>
      </c>
      <c r="AB234" s="10">
        <v>0.95244895928031592</v>
      </c>
      <c r="AC234" s="10" t="s">
        <v>114</v>
      </c>
      <c r="AD234" s="10" t="s">
        <v>114</v>
      </c>
      <c r="AE234" s="10" t="s">
        <v>114</v>
      </c>
      <c r="AF234" s="10">
        <v>4.4748350160550244E-3</v>
      </c>
      <c r="AG234" s="11">
        <v>62.171766880465341</v>
      </c>
      <c r="AH234" s="11">
        <v>0.12722337753100899</v>
      </c>
      <c r="AI234" s="11">
        <v>0.16552703715325076</v>
      </c>
      <c r="AJ234" s="11">
        <v>1.7175703348607355E-2</v>
      </c>
      <c r="AK234" s="11">
        <v>8.5952517677034754E-2</v>
      </c>
      <c r="AL234" s="11">
        <v>1.9044036908320943E-2</v>
      </c>
      <c r="AM234" s="11">
        <v>5.6476784838082458E-3</v>
      </c>
      <c r="AN234" s="11">
        <v>3.0635625986416309E-2</v>
      </c>
      <c r="AO234" s="11" t="s">
        <v>114</v>
      </c>
      <c r="AP234" s="11">
        <v>2.8191664300187994E-2</v>
      </c>
      <c r="AQ234" s="11">
        <v>7.0354850564363853E-3</v>
      </c>
      <c r="AR234" s="11">
        <v>3.244626931267694E-2</v>
      </c>
      <c r="AS234" s="11">
        <v>3.9848058311093629E-3</v>
      </c>
      <c r="AT234" s="11">
        <v>3.2154598021400603E-2</v>
      </c>
      <c r="AU234" s="11">
        <v>5.0831958925311189E-3</v>
      </c>
      <c r="AV234" s="10">
        <v>2.474522458410771</v>
      </c>
      <c r="AW234" s="10">
        <v>10.409914828054813</v>
      </c>
      <c r="AX234" s="10" t="s">
        <v>114</v>
      </c>
      <c r="AY234" s="10" t="s">
        <v>114</v>
      </c>
      <c r="AZ234" s="10">
        <v>9.7339637835473845</v>
      </c>
      <c r="BA234" s="10">
        <v>8.631728443151399</v>
      </c>
      <c r="BB234" s="11">
        <v>9.1679481631403679</v>
      </c>
      <c r="BC234" s="11" t="s">
        <v>114</v>
      </c>
      <c r="BD234" s="11">
        <v>26.564575631043613</v>
      </c>
    </row>
    <row r="235" spans="1:56" x14ac:dyDescent="0.3">
      <c r="A235" s="1" t="s">
        <v>82</v>
      </c>
      <c r="B235" t="s">
        <v>61</v>
      </c>
      <c r="C235" s="10">
        <v>5113.4140667742013</v>
      </c>
      <c r="D235" s="11">
        <v>1055.1294594807434</v>
      </c>
      <c r="E235" s="10">
        <v>149.89431244561925</v>
      </c>
      <c r="F235" s="10">
        <v>147663.94570960992</v>
      </c>
      <c r="G235" s="10" t="s">
        <v>114</v>
      </c>
      <c r="H235" s="10">
        <v>354302.63270250853</v>
      </c>
      <c r="I235" s="11">
        <v>364374.87765453308</v>
      </c>
      <c r="J235" s="10">
        <v>6.6866836788088557</v>
      </c>
      <c r="K235" s="11">
        <v>29.370592469204269</v>
      </c>
      <c r="L235" s="11">
        <v>8.5138032697228034</v>
      </c>
      <c r="M235" s="11">
        <v>1634.5773163095746</v>
      </c>
      <c r="N235" s="11">
        <v>3584.2203343279443</v>
      </c>
      <c r="O235" s="10">
        <v>3608.3398135317534</v>
      </c>
      <c r="P235" s="10">
        <v>15.418280317197368</v>
      </c>
      <c r="Q235" s="11">
        <v>18.466650053778292</v>
      </c>
      <c r="R235" s="11">
        <v>55.185606912965895</v>
      </c>
      <c r="S235" s="10">
        <v>55.417609156027531</v>
      </c>
      <c r="T235" s="11">
        <v>108.85036239336195</v>
      </c>
      <c r="U235" s="10">
        <v>108.54600123060341</v>
      </c>
      <c r="V235" s="10">
        <v>16.583669360741911</v>
      </c>
      <c r="W235" s="10" t="s">
        <v>114</v>
      </c>
      <c r="X235" s="10" t="s">
        <v>114</v>
      </c>
      <c r="Y235" s="11">
        <v>1447.8930374259437</v>
      </c>
      <c r="Z235" s="10">
        <v>9.9541982549299135</v>
      </c>
      <c r="AA235" s="10" t="s">
        <v>114</v>
      </c>
      <c r="AB235" s="10" t="s">
        <v>114</v>
      </c>
      <c r="AC235" s="10" t="s">
        <v>114</v>
      </c>
      <c r="AD235" s="10" t="s">
        <v>114</v>
      </c>
      <c r="AE235" s="10" t="s">
        <v>114</v>
      </c>
      <c r="AF235" s="10">
        <v>7.5846112538915638E-3</v>
      </c>
      <c r="AG235" s="11">
        <v>60.194203583220748</v>
      </c>
      <c r="AH235" s="11">
        <v>0.20165472291503309</v>
      </c>
      <c r="AI235" s="11">
        <v>0.27056608952582917</v>
      </c>
      <c r="AJ235" s="11">
        <v>2.6283107436222572E-2</v>
      </c>
      <c r="AK235" s="11">
        <v>0.12401379297910792</v>
      </c>
      <c r="AL235" s="11">
        <v>1.9919109927973539E-2</v>
      </c>
      <c r="AM235" s="11">
        <v>8.4788693089540637E-3</v>
      </c>
      <c r="AN235" s="11">
        <v>4.2816126740093691E-2</v>
      </c>
      <c r="AO235" s="11">
        <v>6.7479640337133129E-3</v>
      </c>
      <c r="AP235" s="11">
        <v>4.7033467797488689E-2</v>
      </c>
      <c r="AQ235" s="11">
        <v>1.4406923349403101E-2</v>
      </c>
      <c r="AR235" s="11">
        <v>5.0202211209863408E-2</v>
      </c>
      <c r="AS235" s="11">
        <v>7.6315367760770997E-3</v>
      </c>
      <c r="AT235" s="11">
        <v>7.3545380130932522E-2</v>
      </c>
      <c r="AU235" s="11">
        <v>1.1137914615740539E-2</v>
      </c>
      <c r="AV235" s="10">
        <v>2.4781149000806511</v>
      </c>
      <c r="AW235" s="10">
        <v>10.084089045027014</v>
      </c>
      <c r="AX235" s="10" t="s">
        <v>114</v>
      </c>
      <c r="AY235" s="10" t="s">
        <v>114</v>
      </c>
      <c r="AZ235" s="10">
        <v>38.682396596495167</v>
      </c>
      <c r="BA235" s="10">
        <v>35.052472769560723</v>
      </c>
      <c r="BB235" s="11">
        <v>36.59211458423556</v>
      </c>
      <c r="BC235" s="11" t="s">
        <v>114</v>
      </c>
      <c r="BD235" s="11">
        <v>50.882462195302935</v>
      </c>
    </row>
    <row r="236" spans="1:56" x14ac:dyDescent="0.3">
      <c r="A236" s="1" t="s">
        <v>83</v>
      </c>
      <c r="B236" t="s">
        <v>61</v>
      </c>
      <c r="C236" s="10">
        <v>5527.1465212219346</v>
      </c>
      <c r="D236" s="11">
        <v>1132.1052193080404</v>
      </c>
      <c r="E236" s="10">
        <v>75.401698542394371</v>
      </c>
      <c r="F236" s="10">
        <v>165010.17803833936</v>
      </c>
      <c r="G236" s="10" t="s">
        <v>114</v>
      </c>
      <c r="H236" s="10">
        <v>399466.62400101329</v>
      </c>
      <c r="I236" s="11">
        <v>407527.34698634438</v>
      </c>
      <c r="J236" s="10" t="s">
        <v>114</v>
      </c>
      <c r="K236" s="11">
        <v>28.784616905151616</v>
      </c>
      <c r="L236" s="11">
        <v>14.47765459767241</v>
      </c>
      <c r="M236" s="11">
        <v>1424.5062256266867</v>
      </c>
      <c r="N236" s="11">
        <v>2845.2663643112173</v>
      </c>
      <c r="O236" s="10">
        <v>2818.061341968029</v>
      </c>
      <c r="P236" s="10">
        <v>22.527010522388935</v>
      </c>
      <c r="Q236" s="11">
        <v>17.38784677424978</v>
      </c>
      <c r="R236" s="11">
        <v>43.149925221283034</v>
      </c>
      <c r="S236" s="10">
        <v>43.055930178170357</v>
      </c>
      <c r="T236" s="11">
        <v>171.39412192591936</v>
      </c>
      <c r="U236" s="10">
        <v>167.42340757292851</v>
      </c>
      <c r="V236" s="10">
        <v>13.284129036837161</v>
      </c>
      <c r="W236" s="10" t="s">
        <v>114</v>
      </c>
      <c r="X236" s="10" t="s">
        <v>114</v>
      </c>
      <c r="Y236" s="11">
        <v>1648.5737292908025</v>
      </c>
      <c r="Z236" s="10">
        <v>6.9456788742486815</v>
      </c>
      <c r="AA236" s="10">
        <v>0.84845958262910348</v>
      </c>
      <c r="AB236" s="10" t="s">
        <v>114</v>
      </c>
      <c r="AC236" s="10" t="s">
        <v>114</v>
      </c>
      <c r="AD236" s="10" t="s">
        <v>114</v>
      </c>
      <c r="AE236" s="10" t="s">
        <v>114</v>
      </c>
      <c r="AF236" s="10">
        <v>4.3785328737287587E-3</v>
      </c>
      <c r="AG236" s="11">
        <v>61.436103035519089</v>
      </c>
      <c r="AH236" s="11" t="s">
        <v>114</v>
      </c>
      <c r="AI236" s="11" t="s">
        <v>114</v>
      </c>
      <c r="AJ236" s="11" t="s">
        <v>114</v>
      </c>
      <c r="AK236" s="11" t="s">
        <v>114</v>
      </c>
      <c r="AL236" s="11" t="s">
        <v>114</v>
      </c>
      <c r="AM236" s="11">
        <v>4.3707446309628282E-3</v>
      </c>
      <c r="AN236" s="11">
        <v>1.659164214171114E-2</v>
      </c>
      <c r="AO236" s="11" t="s">
        <v>114</v>
      </c>
      <c r="AP236" s="11">
        <v>1.7480664031531815E-2</v>
      </c>
      <c r="AQ236" s="11" t="s">
        <v>114</v>
      </c>
      <c r="AR236" s="11">
        <v>1.9044730799165757E-2</v>
      </c>
      <c r="AS236" s="11" t="s">
        <v>114</v>
      </c>
      <c r="AT236" s="11">
        <v>1.8325944683116598E-2</v>
      </c>
      <c r="AU236" s="11">
        <v>3.8718756342894121E-3</v>
      </c>
      <c r="AV236" s="10">
        <v>1.7665786478072585</v>
      </c>
      <c r="AW236" s="10">
        <v>10.21712607867952</v>
      </c>
      <c r="AX236" s="10" t="s">
        <v>114</v>
      </c>
      <c r="AY236" s="10" t="s">
        <v>114</v>
      </c>
      <c r="AZ236" s="10">
        <v>8.4230156851007969</v>
      </c>
      <c r="BA236" s="10">
        <v>7.6174425994731054</v>
      </c>
      <c r="BB236" s="11">
        <v>7.9368377522702369</v>
      </c>
      <c r="BC236" s="11" t="s">
        <v>114</v>
      </c>
      <c r="BD236" s="11">
        <v>49.557618905127399</v>
      </c>
    </row>
    <row r="237" spans="1:56" x14ac:dyDescent="0.3">
      <c r="A237" s="1" t="s">
        <v>84</v>
      </c>
      <c r="B237" t="s">
        <v>61</v>
      </c>
      <c r="C237" s="10">
        <v>4880.5699569124627</v>
      </c>
      <c r="D237" s="11">
        <v>1039.1328980135918</v>
      </c>
      <c r="E237" s="10">
        <v>175.22462585973167</v>
      </c>
      <c r="F237" s="10">
        <v>128685.79077159222</v>
      </c>
      <c r="G237" s="10" t="s">
        <v>114</v>
      </c>
      <c r="H237" s="10">
        <v>313646.99914376781</v>
      </c>
      <c r="I237" s="11">
        <v>319887.8097562535</v>
      </c>
      <c r="J237" s="10" t="s">
        <v>114</v>
      </c>
      <c r="K237" s="11">
        <v>45.647178926760894</v>
      </c>
      <c r="L237" s="11">
        <v>8.6452809912228741</v>
      </c>
      <c r="M237" s="11">
        <v>2253.3212949213162</v>
      </c>
      <c r="N237" s="11">
        <v>9415.2690943461093</v>
      </c>
      <c r="O237" s="10">
        <v>9575.4750900765812</v>
      </c>
      <c r="P237" s="10">
        <v>29.105618596981447</v>
      </c>
      <c r="Q237" s="11">
        <v>39.428456666771773</v>
      </c>
      <c r="R237" s="11">
        <v>66.07140103997817</v>
      </c>
      <c r="S237" s="10">
        <v>66.415923537294759</v>
      </c>
      <c r="T237" s="11">
        <v>125.5396835277058</v>
      </c>
      <c r="U237" s="10">
        <v>121.95912244129303</v>
      </c>
      <c r="V237" s="10">
        <v>70.233676956868322</v>
      </c>
      <c r="W237" s="10" t="s">
        <v>114</v>
      </c>
      <c r="X237" s="10" t="s">
        <v>114</v>
      </c>
      <c r="Y237" s="11">
        <v>1412.1578263766835</v>
      </c>
      <c r="Z237" s="10">
        <v>8.2831515842827947</v>
      </c>
      <c r="AA237" s="10" t="s">
        <v>114</v>
      </c>
      <c r="AB237" s="10" t="s">
        <v>114</v>
      </c>
      <c r="AC237" s="10" t="s">
        <v>114</v>
      </c>
      <c r="AD237" s="10" t="s">
        <v>114</v>
      </c>
      <c r="AE237" s="10" t="s">
        <v>114</v>
      </c>
      <c r="AF237" s="10">
        <v>7.6564903866846784E-3</v>
      </c>
      <c r="AG237" s="11">
        <v>64.118962943400646</v>
      </c>
      <c r="AH237" s="11">
        <v>0.22832948090602462</v>
      </c>
      <c r="AI237" s="11">
        <v>0.16869043439102668</v>
      </c>
      <c r="AJ237" s="11">
        <v>2.3696373174928152E-2</v>
      </c>
      <c r="AK237" s="11">
        <v>0.11173518181468474</v>
      </c>
      <c r="AL237" s="11">
        <v>2.4029832534235945E-2</v>
      </c>
      <c r="AM237" s="11">
        <v>7.6155027104802958E-3</v>
      </c>
      <c r="AN237" s="11">
        <v>2.629157205269602E-2</v>
      </c>
      <c r="AO237" s="11">
        <v>7.1543656027889665E-3</v>
      </c>
      <c r="AP237" s="11">
        <v>4.2606328316425919E-2</v>
      </c>
      <c r="AQ237" s="11">
        <v>1.2055911896093997E-2</v>
      </c>
      <c r="AR237" s="11">
        <v>4.4619881200917311E-2</v>
      </c>
      <c r="AS237" s="11">
        <v>6.5727507954339449E-3</v>
      </c>
      <c r="AT237" s="11">
        <v>5.038424149474631E-2</v>
      </c>
      <c r="AU237" s="11">
        <v>8.7524063124952995E-3</v>
      </c>
      <c r="AV237" s="10">
        <v>1.4468188672219551</v>
      </c>
      <c r="AW237" s="10">
        <v>10.171146339630093</v>
      </c>
      <c r="AX237" s="10" t="s">
        <v>114</v>
      </c>
      <c r="AY237" s="10" t="s">
        <v>114</v>
      </c>
      <c r="AZ237" s="10">
        <v>12.910278191633864</v>
      </c>
      <c r="BA237" s="10">
        <v>11.527543029645948</v>
      </c>
      <c r="BB237" s="11">
        <v>12.180022618309232</v>
      </c>
      <c r="BC237" s="11" t="s">
        <v>114</v>
      </c>
      <c r="BD237" s="11">
        <v>48.348233031969961</v>
      </c>
    </row>
    <row r="238" spans="1:56" x14ac:dyDescent="0.3">
      <c r="A238" s="1" t="s">
        <v>85</v>
      </c>
      <c r="B238" t="s">
        <v>61</v>
      </c>
      <c r="C238" s="10">
        <v>4043.6708049545282</v>
      </c>
      <c r="D238" s="11">
        <v>901.58654340535122</v>
      </c>
      <c r="E238" s="10">
        <v>31.020608332807829</v>
      </c>
      <c r="F238" s="10">
        <v>137847.05131258929</v>
      </c>
      <c r="G238" s="10" t="s">
        <v>114</v>
      </c>
      <c r="H238" s="10">
        <v>332183.07523874548</v>
      </c>
      <c r="I238" s="11">
        <v>337591.39477558888</v>
      </c>
      <c r="J238" s="10">
        <v>5.9784601907378754</v>
      </c>
      <c r="K238" s="11">
        <v>24.909036774038306</v>
      </c>
      <c r="L238" s="11">
        <v>12.192795757989282</v>
      </c>
      <c r="M238" s="11">
        <v>705.75172094893765</v>
      </c>
      <c r="N238" s="11">
        <v>1260.8207836511162</v>
      </c>
      <c r="O238" s="10">
        <v>1277.1727960547291</v>
      </c>
      <c r="P238" s="10">
        <v>2.7375400220337607</v>
      </c>
      <c r="Q238" s="11">
        <v>7.008175903867385</v>
      </c>
      <c r="R238" s="11">
        <v>14.695622677779937</v>
      </c>
      <c r="S238" s="10">
        <v>14.92421965462894</v>
      </c>
      <c r="T238" s="11">
        <v>171.43717653329713</v>
      </c>
      <c r="U238" s="10">
        <v>160.284096908907</v>
      </c>
      <c r="V238" s="10">
        <v>6.9469492915008511</v>
      </c>
      <c r="W238" s="10" t="s">
        <v>114</v>
      </c>
      <c r="X238" s="10" t="s">
        <v>114</v>
      </c>
      <c r="Y238" s="11">
        <v>1294.1402644611208</v>
      </c>
      <c r="Z238" s="10">
        <v>6.1046463117409209</v>
      </c>
      <c r="AA238" s="10" t="s">
        <v>114</v>
      </c>
      <c r="AB238" s="10" t="s">
        <v>114</v>
      </c>
      <c r="AC238" s="10" t="s">
        <v>114</v>
      </c>
      <c r="AD238" s="10" t="s">
        <v>114</v>
      </c>
      <c r="AE238" s="10" t="s">
        <v>114</v>
      </c>
      <c r="AF238" s="10">
        <v>4.7499641572009204E-3</v>
      </c>
      <c r="AG238" s="11">
        <v>46.980472346522639</v>
      </c>
      <c r="AH238" s="11">
        <v>0.16098309979639547</v>
      </c>
      <c r="AI238" s="11">
        <v>0.23362894404816495</v>
      </c>
      <c r="AJ238" s="11">
        <v>2.4890153868447382E-2</v>
      </c>
      <c r="AK238" s="11">
        <v>9.3877994916541391E-2</v>
      </c>
      <c r="AL238" s="11">
        <v>2.6080541223527723E-2</v>
      </c>
      <c r="AM238" s="11">
        <v>7.0604010113065668E-3</v>
      </c>
      <c r="AN238" s="11">
        <v>3.0365231006122609E-2</v>
      </c>
      <c r="AO238" s="11">
        <v>6.1132706092819188E-3</v>
      </c>
      <c r="AP238" s="11">
        <v>3.2896633048805995E-2</v>
      </c>
      <c r="AQ238" s="11">
        <v>9.6700676786468671E-3</v>
      </c>
      <c r="AR238" s="11">
        <v>3.4358823034599049E-2</v>
      </c>
      <c r="AS238" s="11">
        <v>5.5762718808072161E-3</v>
      </c>
      <c r="AT238" s="11">
        <v>4.0650782061777017E-2</v>
      </c>
      <c r="AU238" s="11">
        <v>6.8946224246208563E-3</v>
      </c>
      <c r="AV238" s="10">
        <v>1.2202834706448882</v>
      </c>
      <c r="AW238" s="10">
        <v>8.9754339532060499</v>
      </c>
      <c r="AX238" s="10" t="s">
        <v>114</v>
      </c>
      <c r="AY238" s="10">
        <v>7.0156190942744598E-2</v>
      </c>
      <c r="AZ238" s="10">
        <v>20.566039766423813</v>
      </c>
      <c r="BA238" s="10">
        <v>18.523374781817861</v>
      </c>
      <c r="BB238" s="11">
        <v>19.461663983320506</v>
      </c>
      <c r="BC238" s="11" t="s">
        <v>114</v>
      </c>
      <c r="BD238" s="11">
        <v>34.772985661440174</v>
      </c>
    </row>
    <row r="239" spans="1:56" x14ac:dyDescent="0.3">
      <c r="A239" s="1" t="s">
        <v>86</v>
      </c>
      <c r="B239" t="s">
        <v>61</v>
      </c>
      <c r="C239" s="10">
        <v>4463.9141479964501</v>
      </c>
      <c r="D239" s="11">
        <v>1034.8863914330004</v>
      </c>
      <c r="E239" s="10">
        <v>37.321596666857815</v>
      </c>
      <c r="F239" s="10">
        <v>156561.73859142538</v>
      </c>
      <c r="G239" s="10" t="s">
        <v>114</v>
      </c>
      <c r="H239" s="10">
        <v>377173.78069178201</v>
      </c>
      <c r="I239" s="11">
        <v>384834.79081204062</v>
      </c>
      <c r="J239" s="10">
        <v>4.8636077345414739</v>
      </c>
      <c r="K239" s="11">
        <v>17.688887380034842</v>
      </c>
      <c r="L239" s="11">
        <v>8.9490059652718088</v>
      </c>
      <c r="M239" s="11">
        <v>1022.4139737093335</v>
      </c>
      <c r="N239" s="11">
        <v>1289.696416028085</v>
      </c>
      <c r="O239" s="10">
        <v>1302.6429412914015</v>
      </c>
      <c r="P239" s="10">
        <v>3.1406178035662293</v>
      </c>
      <c r="Q239" s="11">
        <v>10.010426189343066</v>
      </c>
      <c r="R239" s="11">
        <v>21.194140329078124</v>
      </c>
      <c r="S239" s="10">
        <v>21.476444984481461</v>
      </c>
      <c r="T239" s="11">
        <v>191.43731042190777</v>
      </c>
      <c r="U239" s="10">
        <v>182.69428299116095</v>
      </c>
      <c r="V239" s="10">
        <v>7.6509380622748493</v>
      </c>
      <c r="W239" s="10" t="s">
        <v>114</v>
      </c>
      <c r="X239" s="10" t="s">
        <v>114</v>
      </c>
      <c r="Y239" s="11">
        <v>1350.924457693307</v>
      </c>
      <c r="Z239" s="10">
        <v>5.4979501953399534</v>
      </c>
      <c r="AA239" s="10">
        <v>1.2790603512649519</v>
      </c>
      <c r="AB239" s="10">
        <v>1.3447649658437619</v>
      </c>
      <c r="AC239" s="10">
        <v>1.4575087807831038</v>
      </c>
      <c r="AD239" s="10" t="s">
        <v>114</v>
      </c>
      <c r="AE239" s="10" t="s">
        <v>114</v>
      </c>
      <c r="AF239" s="10">
        <v>7.2485888688052398E-3</v>
      </c>
      <c r="AG239" s="11">
        <v>42.054520185499811</v>
      </c>
      <c r="AH239" s="11">
        <v>0.23637677892985914</v>
      </c>
      <c r="AI239" s="11">
        <v>0.28288471508201363</v>
      </c>
      <c r="AJ239" s="11">
        <v>3.0423244426823818E-2</v>
      </c>
      <c r="AK239" s="11">
        <v>0.13511537189265874</v>
      </c>
      <c r="AL239" s="11">
        <v>2.1688539551375726E-2</v>
      </c>
      <c r="AM239" s="11">
        <v>9.1758255897110425E-3</v>
      </c>
      <c r="AN239" s="11">
        <v>4.2423969785360935E-2</v>
      </c>
      <c r="AO239" s="11">
        <v>7.9976496424688341E-3</v>
      </c>
      <c r="AP239" s="11">
        <v>6.6388469846818801E-2</v>
      </c>
      <c r="AQ239" s="11">
        <v>1.5403865338496229E-2</v>
      </c>
      <c r="AR239" s="11">
        <v>7.5531002565288857E-2</v>
      </c>
      <c r="AS239" s="11">
        <v>1.4778282075744779E-2</v>
      </c>
      <c r="AT239" s="11">
        <v>9.4716637428221812E-2</v>
      </c>
      <c r="AU239" s="11">
        <v>1.4714437719531038E-2</v>
      </c>
      <c r="AV239" s="10">
        <v>1.2664469000875969</v>
      </c>
      <c r="AW239" s="10">
        <v>9.9685146018856088</v>
      </c>
      <c r="AX239" s="10" t="s">
        <v>114</v>
      </c>
      <c r="AY239" s="10">
        <v>0.12812109430003818</v>
      </c>
      <c r="AZ239" s="10">
        <v>26.355301321155498</v>
      </c>
      <c r="BA239" s="10">
        <v>23.851376628033307</v>
      </c>
      <c r="BB239" s="11">
        <v>24.975959487562648</v>
      </c>
      <c r="BC239" s="11" t="s">
        <v>114</v>
      </c>
      <c r="BD239" s="11">
        <v>39.880027285556629</v>
      </c>
    </row>
    <row r="240" spans="1:56" x14ac:dyDescent="0.3">
      <c r="A240" s="1" t="s">
        <v>87</v>
      </c>
      <c r="B240" t="s">
        <v>61</v>
      </c>
      <c r="C240" s="10">
        <v>4307.2447415071956</v>
      </c>
      <c r="D240" s="11">
        <v>1037.1142198298535</v>
      </c>
      <c r="E240" s="10">
        <v>165.66962492685414</v>
      </c>
      <c r="F240" s="10">
        <v>154891.1084625544</v>
      </c>
      <c r="G240" s="10" t="s">
        <v>114</v>
      </c>
      <c r="H240" s="10">
        <v>371452.93854735006</v>
      </c>
      <c r="I240" s="11">
        <v>377939.85792939953</v>
      </c>
      <c r="J240" s="10">
        <v>4.962452938818803</v>
      </c>
      <c r="K240" s="11">
        <v>53.004881655501066</v>
      </c>
      <c r="L240" s="11">
        <v>9.9400643048084945</v>
      </c>
      <c r="M240" s="11">
        <v>1198.5324356257508</v>
      </c>
      <c r="N240" s="11">
        <v>7440.8971587933511</v>
      </c>
      <c r="O240" s="10">
        <v>7410.3359083641308</v>
      </c>
      <c r="P240" s="10">
        <v>4.9227513410907422</v>
      </c>
      <c r="Q240" s="11">
        <v>22.367790583864306</v>
      </c>
      <c r="R240" s="11">
        <v>27.563690179655278</v>
      </c>
      <c r="S240" s="10">
        <v>27.520667577569903</v>
      </c>
      <c r="T240" s="11">
        <v>174.73639090512009</v>
      </c>
      <c r="U240" s="10">
        <v>167.64840143703793</v>
      </c>
      <c r="V240" s="10">
        <v>41.08150124857076</v>
      </c>
      <c r="W240" s="10" t="s">
        <v>114</v>
      </c>
      <c r="X240" s="10" t="s">
        <v>114</v>
      </c>
      <c r="Y240" s="11">
        <v>1238.9642295602835</v>
      </c>
      <c r="Z240" s="10">
        <v>9.936752192608644</v>
      </c>
      <c r="AA240" s="10">
        <v>1.3079863519980794</v>
      </c>
      <c r="AB240" s="10">
        <v>1.1342787752416332</v>
      </c>
      <c r="AC240" s="10">
        <v>1.0385192618718426</v>
      </c>
      <c r="AD240" s="10" t="s">
        <v>114</v>
      </c>
      <c r="AE240" s="10" t="s">
        <v>114</v>
      </c>
      <c r="AF240" s="10">
        <v>6.9154678699366381E-3</v>
      </c>
      <c r="AG240" s="11">
        <v>38.722928300598817</v>
      </c>
      <c r="AH240" s="11">
        <v>0.15069887158051462</v>
      </c>
      <c r="AI240" s="11">
        <v>0.12197962711483575</v>
      </c>
      <c r="AJ240" s="11">
        <v>1.2328508642557993E-2</v>
      </c>
      <c r="AK240" s="11">
        <v>4.8933034594016073E-2</v>
      </c>
      <c r="AL240" s="11" t="s">
        <v>114</v>
      </c>
      <c r="AM240" s="11">
        <v>5.4142003059864099E-3</v>
      </c>
      <c r="AN240" s="11">
        <v>2.5849645311753443E-2</v>
      </c>
      <c r="AO240" s="11">
        <v>4.896129547509771E-3</v>
      </c>
      <c r="AP240" s="11">
        <v>3.5428191757011201E-2</v>
      </c>
      <c r="AQ240" s="11">
        <v>1.1766751926171581E-2</v>
      </c>
      <c r="AR240" s="11">
        <v>5.0630769848692678E-2</v>
      </c>
      <c r="AS240" s="11">
        <v>9.5730048914035963E-3</v>
      </c>
      <c r="AT240" s="11">
        <v>6.5492455810570741E-2</v>
      </c>
      <c r="AU240" s="11">
        <v>1.2140053685853931E-2</v>
      </c>
      <c r="AV240" s="10">
        <v>2.6651809674887446</v>
      </c>
      <c r="AW240" s="10">
        <v>9.1874140466882128</v>
      </c>
      <c r="AX240" s="10" t="s">
        <v>114</v>
      </c>
      <c r="AY240" s="10" t="s">
        <v>114</v>
      </c>
      <c r="AZ240" s="10">
        <v>55.727578911274492</v>
      </c>
      <c r="BA240" s="10">
        <v>50.292640463483096</v>
      </c>
      <c r="BB240" s="11">
        <v>52.764043294867939</v>
      </c>
      <c r="BC240" s="11" t="s">
        <v>114</v>
      </c>
      <c r="BD240" s="11">
        <v>42.571700002440323</v>
      </c>
    </row>
    <row r="241" spans="1:56" x14ac:dyDescent="0.3">
      <c r="A241" s="1" t="s">
        <v>88</v>
      </c>
      <c r="B241" t="s">
        <v>61</v>
      </c>
      <c r="C241" s="10">
        <v>3763.2167804395563</v>
      </c>
      <c r="D241" s="11">
        <v>1293.1187996744641</v>
      </c>
      <c r="E241" s="10">
        <v>427.68405171368642</v>
      </c>
      <c r="F241" s="10">
        <v>154227.39116644469</v>
      </c>
      <c r="G241" s="10" t="s">
        <v>114</v>
      </c>
      <c r="H241" s="10">
        <v>364686.69101915602</v>
      </c>
      <c r="I241" s="11">
        <v>372757.94297871436</v>
      </c>
      <c r="J241" s="10">
        <v>6.3765379546244318</v>
      </c>
      <c r="K241" s="11">
        <v>107.29801337062239</v>
      </c>
      <c r="L241" s="11">
        <v>5.7322347539654492</v>
      </c>
      <c r="M241" s="11">
        <v>2654.808634245242</v>
      </c>
      <c r="N241" s="11">
        <v>25681.579195680253</v>
      </c>
      <c r="O241" s="10">
        <v>25946.095810104915</v>
      </c>
      <c r="P241" s="10">
        <v>47.890056752958991</v>
      </c>
      <c r="Q241" s="11">
        <v>59.306304856431176</v>
      </c>
      <c r="R241" s="11">
        <v>65.030495513477391</v>
      </c>
      <c r="S241" s="10">
        <v>64.966014190122976</v>
      </c>
      <c r="T241" s="11">
        <v>130.80772781546406</v>
      </c>
      <c r="U241" s="10">
        <v>127.10586606452152</v>
      </c>
      <c r="V241" s="10">
        <v>149.29656833470324</v>
      </c>
      <c r="W241" s="10" t="s">
        <v>114</v>
      </c>
      <c r="X241" s="10">
        <v>0.52334043826676002</v>
      </c>
      <c r="Y241" s="11">
        <v>1268.7964467646791</v>
      </c>
      <c r="Z241" s="10">
        <v>10.354370290306694</v>
      </c>
      <c r="AA241" s="10">
        <v>3.3927913118459143</v>
      </c>
      <c r="AB241" s="10">
        <v>3.5628993297733262</v>
      </c>
      <c r="AC241" s="10" t="s">
        <v>114</v>
      </c>
      <c r="AD241" s="10" t="s">
        <v>114</v>
      </c>
      <c r="AE241" s="10" t="s">
        <v>114</v>
      </c>
      <c r="AF241" s="10">
        <v>1.9007438423457743E-2</v>
      </c>
      <c r="AG241" s="11">
        <v>78.90865056829854</v>
      </c>
      <c r="AH241" s="11">
        <v>0.4127574805237445</v>
      </c>
      <c r="AI241" s="11">
        <v>0.64544738598075491</v>
      </c>
      <c r="AJ241" s="11">
        <v>6.9664643701863205E-2</v>
      </c>
      <c r="AK241" s="11">
        <v>0.29878453343497191</v>
      </c>
      <c r="AL241" s="11">
        <v>6.2032367488489663E-2</v>
      </c>
      <c r="AM241" s="11">
        <v>1.866868428879E-2</v>
      </c>
      <c r="AN241" s="11">
        <v>8.4652382447413993E-2</v>
      </c>
      <c r="AO241" s="11">
        <v>1.291576704464961E-2</v>
      </c>
      <c r="AP241" s="11">
        <v>9.25809123462214E-2</v>
      </c>
      <c r="AQ241" s="11">
        <v>2.5695425489964424E-2</v>
      </c>
      <c r="AR241" s="11">
        <v>8.9380973617666934E-2</v>
      </c>
      <c r="AS241" s="11">
        <v>1.4539244806112022E-2</v>
      </c>
      <c r="AT241" s="11">
        <v>9.5094659121624125E-2</v>
      </c>
      <c r="AU241" s="11">
        <v>1.7866236734320307E-2</v>
      </c>
      <c r="AV241" s="10">
        <v>1.7570448627043957</v>
      </c>
      <c r="AW241" s="10">
        <v>10.184858792164068</v>
      </c>
      <c r="AX241" s="10" t="s">
        <v>114</v>
      </c>
      <c r="AY241" s="10" t="s">
        <v>114</v>
      </c>
      <c r="AZ241" s="10">
        <v>26.847640782386708</v>
      </c>
      <c r="BA241" s="10">
        <v>24.362502801169398</v>
      </c>
      <c r="BB241" s="11">
        <v>25.432767795200963</v>
      </c>
      <c r="BC241" s="11" t="s">
        <v>114</v>
      </c>
      <c r="BD241" s="11">
        <v>35.263126916328574</v>
      </c>
    </row>
    <row r="242" spans="1:56" x14ac:dyDescent="0.3">
      <c r="A242" s="1" t="s">
        <v>89</v>
      </c>
      <c r="B242" t="s">
        <v>61</v>
      </c>
      <c r="C242" s="10">
        <v>4723.3273548028619</v>
      </c>
      <c r="D242" s="11">
        <v>931.36299213267148</v>
      </c>
      <c r="E242" s="10">
        <v>58.038015953823844</v>
      </c>
      <c r="F242" s="10">
        <v>134102.43864446291</v>
      </c>
      <c r="G242" s="10" t="s">
        <v>114</v>
      </c>
      <c r="H242" s="10">
        <v>321319.76231890154</v>
      </c>
      <c r="I242" s="11">
        <v>330421.74555245187</v>
      </c>
      <c r="J242" s="10">
        <v>6.2807145601323811</v>
      </c>
      <c r="K242" s="11">
        <v>48.365541051195045</v>
      </c>
      <c r="L242" s="11">
        <v>4.5171300783824613</v>
      </c>
      <c r="M242" s="11">
        <v>439.81469569875674</v>
      </c>
      <c r="N242" s="11">
        <v>6862.4591322142851</v>
      </c>
      <c r="O242" s="10">
        <v>6847.6367766489539</v>
      </c>
      <c r="P242" s="10">
        <v>2.306997220967463</v>
      </c>
      <c r="Q242" s="11">
        <v>9.9771545440526399</v>
      </c>
      <c r="R242" s="11">
        <v>21.2987742389037</v>
      </c>
      <c r="S242" s="10">
        <v>21.342237995741549</v>
      </c>
      <c r="T242" s="11">
        <v>117.18492144982127</v>
      </c>
      <c r="U242" s="10">
        <v>113.23936956494309</v>
      </c>
      <c r="V242" s="10">
        <v>49.836691002031223</v>
      </c>
      <c r="W242" s="10" t="s">
        <v>114</v>
      </c>
      <c r="X242" s="10" t="s">
        <v>114</v>
      </c>
      <c r="Y242" s="11">
        <v>1302.9902793140961</v>
      </c>
      <c r="Z242" s="10">
        <v>8.9663518760197061</v>
      </c>
      <c r="AA242" s="10" t="s">
        <v>114</v>
      </c>
      <c r="AB242" s="10" t="s">
        <v>114</v>
      </c>
      <c r="AC242" s="10">
        <v>0.16901985080200027</v>
      </c>
      <c r="AD242" s="10" t="s">
        <v>114</v>
      </c>
      <c r="AE242" s="10" t="s">
        <v>114</v>
      </c>
      <c r="AF242" s="10">
        <v>4.8041209651043361E-3</v>
      </c>
      <c r="AG242" s="11">
        <v>34.431389825063818</v>
      </c>
      <c r="AH242" s="11">
        <v>9.3956116873075687E-2</v>
      </c>
      <c r="AI242" s="11" t="s">
        <v>114</v>
      </c>
      <c r="AJ242" s="11">
        <v>1.2540504903424496E-2</v>
      </c>
      <c r="AK242" s="11" t="s">
        <v>114</v>
      </c>
      <c r="AL242" s="11">
        <v>1.5887514986850787E-2</v>
      </c>
      <c r="AM242" s="11" t="s">
        <v>114</v>
      </c>
      <c r="AN242" s="11">
        <v>1.7091007028091527E-2</v>
      </c>
      <c r="AO242" s="11" t="s">
        <v>114</v>
      </c>
      <c r="AP242" s="11">
        <v>3.0679855026052291E-2</v>
      </c>
      <c r="AQ242" s="11">
        <v>6.6672927168020353E-3</v>
      </c>
      <c r="AR242" s="11">
        <v>4.2638776443049885E-2</v>
      </c>
      <c r="AS242" s="11">
        <v>6.2952798526566996E-3</v>
      </c>
      <c r="AT242" s="11">
        <v>4.7853043122923038E-2</v>
      </c>
      <c r="AU242" s="11">
        <v>8.2910963117668861E-3</v>
      </c>
      <c r="AV242" s="10">
        <v>1.536864382075591</v>
      </c>
      <c r="AW242" s="10">
        <v>10.06832057709741</v>
      </c>
      <c r="AX242" s="10" t="s">
        <v>114</v>
      </c>
      <c r="AY242" s="10" t="s">
        <v>114</v>
      </c>
      <c r="AZ242" s="10">
        <v>27.566260699475642</v>
      </c>
      <c r="BA242" s="10">
        <v>25.245901304562612</v>
      </c>
      <c r="BB242" s="11">
        <v>26.293345090054817</v>
      </c>
      <c r="BC242" s="11" t="s">
        <v>114</v>
      </c>
      <c r="BD242" s="11">
        <v>53.406848385392003</v>
      </c>
    </row>
    <row r="243" spans="1:56" x14ac:dyDescent="0.3">
      <c r="A243" s="1" t="s">
        <v>90</v>
      </c>
      <c r="B243" t="s">
        <v>61</v>
      </c>
      <c r="C243" s="10">
        <v>4570.5529667488299</v>
      </c>
      <c r="D243" s="11">
        <v>1157.4855484397538</v>
      </c>
      <c r="E243" s="10">
        <v>59.203495401931526</v>
      </c>
      <c r="F243" s="10">
        <v>134366.96691657722</v>
      </c>
      <c r="G243" s="10" t="s">
        <v>114</v>
      </c>
      <c r="H243" s="10">
        <v>325569.89426100097</v>
      </c>
      <c r="I243" s="11">
        <v>335839.33566713479</v>
      </c>
      <c r="J243" s="10" t="s">
        <v>114</v>
      </c>
      <c r="K243" s="11">
        <v>26.810397384365736</v>
      </c>
      <c r="L243" s="11">
        <v>11.77957771687389</v>
      </c>
      <c r="M243" s="11">
        <v>2625.4467379677021</v>
      </c>
      <c r="N243" s="11">
        <v>3038.8640791411563</v>
      </c>
      <c r="O243" s="10">
        <v>3067.3543765267832</v>
      </c>
      <c r="P243" s="10">
        <v>26.205088254534964</v>
      </c>
      <c r="Q243" s="11">
        <v>46.873224219546678</v>
      </c>
      <c r="R243" s="11">
        <v>26.135776880030434</v>
      </c>
      <c r="S243" s="10">
        <v>26.245192979760269</v>
      </c>
      <c r="T243" s="11">
        <v>128.53523717845445</v>
      </c>
      <c r="U243" s="10">
        <v>128.55916135996901</v>
      </c>
      <c r="V243" s="10">
        <v>30.452193726393578</v>
      </c>
      <c r="W243" s="10" t="s">
        <v>114</v>
      </c>
      <c r="X243" s="10" t="s">
        <v>114</v>
      </c>
      <c r="Y243" s="11">
        <v>1570.0251578161956</v>
      </c>
      <c r="Z243" s="10">
        <v>5.9920645191456199</v>
      </c>
      <c r="AA243" s="10">
        <v>6.0513689599033027</v>
      </c>
      <c r="AB243" s="10">
        <v>6.0567083327090359</v>
      </c>
      <c r="AC243" s="10" t="s">
        <v>114</v>
      </c>
      <c r="AD243" s="10" t="s">
        <v>114</v>
      </c>
      <c r="AE243" s="10" t="s">
        <v>114</v>
      </c>
      <c r="AF243" s="10">
        <v>5.9952041230667587E-3</v>
      </c>
      <c r="AG243" s="11">
        <v>88.586992545225783</v>
      </c>
      <c r="AH243" s="11" t="s">
        <v>114</v>
      </c>
      <c r="AI243" s="11" t="s">
        <v>114</v>
      </c>
      <c r="AJ243" s="11" t="s">
        <v>114</v>
      </c>
      <c r="AK243" s="11" t="s">
        <v>114</v>
      </c>
      <c r="AL243" s="11" t="s">
        <v>114</v>
      </c>
      <c r="AM243" s="11" t="s">
        <v>114</v>
      </c>
      <c r="AN243" s="11" t="s">
        <v>114</v>
      </c>
      <c r="AO243" s="11" t="s">
        <v>114</v>
      </c>
      <c r="AP243" s="11" t="s">
        <v>114</v>
      </c>
      <c r="AQ243" s="11" t="s">
        <v>114</v>
      </c>
      <c r="AR243" s="11" t="s">
        <v>114</v>
      </c>
      <c r="AS243" s="11" t="s">
        <v>114</v>
      </c>
      <c r="AT243" s="11" t="s">
        <v>114</v>
      </c>
      <c r="AU243" s="11" t="s">
        <v>114</v>
      </c>
      <c r="AV243" s="10">
        <v>1.1640898467205301</v>
      </c>
      <c r="AW243" s="10">
        <v>10.079427316070895</v>
      </c>
      <c r="AX243" s="10" t="s">
        <v>114</v>
      </c>
      <c r="AY243" s="10" t="s">
        <v>114</v>
      </c>
      <c r="AZ243" s="10">
        <v>33.324872089843481</v>
      </c>
      <c r="BA243" s="10">
        <v>30.311032470610666</v>
      </c>
      <c r="BB243" s="11">
        <v>31.649911832237169</v>
      </c>
      <c r="BC243" s="11" t="s">
        <v>114</v>
      </c>
      <c r="BD243" s="11">
        <v>45.349297864791573</v>
      </c>
    </row>
    <row r="244" spans="1:56" x14ac:dyDescent="0.3">
      <c r="A244" s="1" t="s">
        <v>91</v>
      </c>
      <c r="B244" t="s">
        <v>61</v>
      </c>
      <c r="C244" s="10">
        <v>4206.9774487953136</v>
      </c>
      <c r="D244" s="11">
        <v>1215.2596642321926</v>
      </c>
      <c r="E244" s="10">
        <v>71.065879519961612</v>
      </c>
      <c r="F244" s="10">
        <v>139485.01062794079</v>
      </c>
      <c r="G244" s="10" t="s">
        <v>114</v>
      </c>
      <c r="H244" s="10">
        <v>342463.12395480368</v>
      </c>
      <c r="I244" s="11">
        <v>350809.28203388309</v>
      </c>
      <c r="J244" s="10" t="s">
        <v>114</v>
      </c>
      <c r="K244" s="11">
        <v>49.768378283038217</v>
      </c>
      <c r="L244" s="11">
        <v>22.715237513904363</v>
      </c>
      <c r="M244" s="11">
        <v>1153.7075048270904</v>
      </c>
      <c r="N244" s="11">
        <v>6308.7268491819013</v>
      </c>
      <c r="O244" s="10">
        <v>6271.6223935038588</v>
      </c>
      <c r="P244" s="10">
        <v>5.9013231840800922</v>
      </c>
      <c r="Q244" s="11">
        <v>22.671017712918026</v>
      </c>
      <c r="R244" s="11">
        <v>23.113022876749959</v>
      </c>
      <c r="S244" s="10">
        <v>22.919128578358308</v>
      </c>
      <c r="T244" s="11">
        <v>121.79991470365562</v>
      </c>
      <c r="U244" s="10">
        <v>118.13395456618113</v>
      </c>
      <c r="V244" s="10">
        <v>50.403114290427602</v>
      </c>
      <c r="W244" s="10" t="s">
        <v>114</v>
      </c>
      <c r="X244" s="10" t="s">
        <v>114</v>
      </c>
      <c r="Y244" s="11">
        <v>1334.3575518073694</v>
      </c>
      <c r="Z244" s="10">
        <v>5.0228292649927004</v>
      </c>
      <c r="AA244" s="10">
        <v>0.93006262247302607</v>
      </c>
      <c r="AB244" s="10">
        <v>0.8709612954001984</v>
      </c>
      <c r="AC244" s="10" t="s">
        <v>114</v>
      </c>
      <c r="AD244" s="10" t="s">
        <v>114</v>
      </c>
      <c r="AE244" s="10" t="s">
        <v>114</v>
      </c>
      <c r="AF244" s="10">
        <v>5.8643278065934439E-3</v>
      </c>
      <c r="AG244" s="11">
        <v>58.817343574753039</v>
      </c>
      <c r="AH244" s="11" t="s">
        <v>114</v>
      </c>
      <c r="AI244" s="11" t="s">
        <v>114</v>
      </c>
      <c r="AJ244" s="11" t="s">
        <v>114</v>
      </c>
      <c r="AK244" s="11" t="s">
        <v>114</v>
      </c>
      <c r="AL244" s="11">
        <v>1.4875726649459789E-2</v>
      </c>
      <c r="AM244" s="11">
        <v>3.1477826581016786E-3</v>
      </c>
      <c r="AN244" s="11">
        <v>1.9325409505467871E-2</v>
      </c>
      <c r="AO244" s="11" t="s">
        <v>114</v>
      </c>
      <c r="AP244" s="11" t="s">
        <v>114</v>
      </c>
      <c r="AQ244" s="11" t="s">
        <v>114</v>
      </c>
      <c r="AR244" s="11" t="s">
        <v>114</v>
      </c>
      <c r="AS244" s="11">
        <v>2.8981291915417665E-3</v>
      </c>
      <c r="AT244" s="11">
        <v>1.7892188992078343E-2</v>
      </c>
      <c r="AU244" s="11">
        <v>4.0813649117325294E-3</v>
      </c>
      <c r="AV244" s="10">
        <v>1.1499373999527867</v>
      </c>
      <c r="AW244" s="10">
        <v>9.7596725389229242</v>
      </c>
      <c r="AX244" s="10" t="s">
        <v>114</v>
      </c>
      <c r="AY244" s="10" t="s">
        <v>114</v>
      </c>
      <c r="AZ244" s="10">
        <v>14.307258439257689</v>
      </c>
      <c r="BA244" s="10">
        <v>12.90286176821199</v>
      </c>
      <c r="BB244" s="11">
        <v>13.561097323845793</v>
      </c>
      <c r="BC244" s="11" t="s">
        <v>114</v>
      </c>
      <c r="BD244" s="11">
        <v>40.076586149421097</v>
      </c>
    </row>
    <row r="245" spans="1:56" x14ac:dyDescent="0.3">
      <c r="A245" s="1" t="s">
        <v>92</v>
      </c>
      <c r="B245" t="s">
        <v>61</v>
      </c>
      <c r="C245" s="10">
        <v>4892.7403643593543</v>
      </c>
      <c r="D245" s="11">
        <v>1108.7270029581068</v>
      </c>
      <c r="E245" s="10">
        <v>143.67812931823929</v>
      </c>
      <c r="F245" s="10">
        <v>146343.38679426536</v>
      </c>
      <c r="G245" s="10" t="s">
        <v>114</v>
      </c>
      <c r="H245" s="10">
        <v>357612.99560534151</v>
      </c>
      <c r="I245" s="11">
        <v>364508.60025771201</v>
      </c>
      <c r="J245" s="10">
        <v>12.258481001366123</v>
      </c>
      <c r="K245" s="11">
        <v>50.654263309118718</v>
      </c>
      <c r="L245" s="11">
        <v>13.826603281996096</v>
      </c>
      <c r="M245" s="11">
        <v>544.7707587657701</v>
      </c>
      <c r="N245" s="11">
        <v>4979.7028621595373</v>
      </c>
      <c r="O245" s="10">
        <v>4946.3505742214156</v>
      </c>
      <c r="P245" s="10">
        <v>1.4038533595937392</v>
      </c>
      <c r="Q245" s="11">
        <v>17.131778051506867</v>
      </c>
      <c r="R245" s="11">
        <v>21.446061057332713</v>
      </c>
      <c r="S245" s="10">
        <v>21.726438905764201</v>
      </c>
      <c r="T245" s="11">
        <v>178.66736680729085</v>
      </c>
      <c r="U245" s="10">
        <v>172.10629954311804</v>
      </c>
      <c r="V245" s="10">
        <v>33.98176078144995</v>
      </c>
      <c r="W245" s="10" t="s">
        <v>114</v>
      </c>
      <c r="X245" s="10" t="s">
        <v>114</v>
      </c>
      <c r="Y245" s="11">
        <v>1365.7153379695917</v>
      </c>
      <c r="Z245" s="10">
        <v>8.0275789929849086</v>
      </c>
      <c r="AA245" s="10">
        <v>1.9845568694093112</v>
      </c>
      <c r="AB245" s="10">
        <v>2.3143533967805849</v>
      </c>
      <c r="AC245" s="10" t="s">
        <v>114</v>
      </c>
      <c r="AD245" s="10" t="s">
        <v>114</v>
      </c>
      <c r="AE245" s="10" t="s">
        <v>114</v>
      </c>
      <c r="AF245" s="10">
        <v>6.7410961194284648E-3</v>
      </c>
      <c r="AG245" s="11">
        <v>60.042726073677755</v>
      </c>
      <c r="AH245" s="11">
        <v>0.13631851035568443</v>
      </c>
      <c r="AI245" s="11">
        <v>0.29507027234962818</v>
      </c>
      <c r="AJ245" s="11">
        <v>2.2018531057916981E-2</v>
      </c>
      <c r="AK245" s="11">
        <v>0.10814195696319374</v>
      </c>
      <c r="AL245" s="11">
        <v>3.3843010763758417E-2</v>
      </c>
      <c r="AM245" s="11">
        <v>9.2779608820658544E-3</v>
      </c>
      <c r="AN245" s="11">
        <v>3.7774448544016466E-2</v>
      </c>
      <c r="AO245" s="11">
        <v>9.4698595864689712E-3</v>
      </c>
      <c r="AP245" s="11">
        <v>4.7928196801412255E-2</v>
      </c>
      <c r="AQ245" s="11">
        <v>1.5359030325682079E-2</v>
      </c>
      <c r="AR245" s="11">
        <v>4.6271949804264655E-2</v>
      </c>
      <c r="AS245" s="11">
        <v>7.1712450731793477E-3</v>
      </c>
      <c r="AT245" s="11">
        <v>6.1641290632982182E-2</v>
      </c>
      <c r="AU245" s="11">
        <v>1.0702440566635708E-2</v>
      </c>
      <c r="AV245" s="10">
        <v>1.1650239247569354</v>
      </c>
      <c r="AW245" s="10">
        <v>9.9240270205001249</v>
      </c>
      <c r="AX245" s="10" t="s">
        <v>114</v>
      </c>
      <c r="AY245" s="10" t="s">
        <v>114</v>
      </c>
      <c r="AZ245" s="10">
        <v>6.7071994376582129</v>
      </c>
      <c r="BA245" s="10">
        <v>6.0035575333825797</v>
      </c>
      <c r="BB245" s="11">
        <v>6.292450758131177</v>
      </c>
      <c r="BC245" s="11" t="s">
        <v>114</v>
      </c>
      <c r="BD245" s="11">
        <v>56.483993365334079</v>
      </c>
    </row>
    <row r="246" spans="1:56" x14ac:dyDescent="0.3">
      <c r="A246" s="1" t="s">
        <v>93</v>
      </c>
      <c r="B246" t="s">
        <v>61</v>
      </c>
      <c r="C246" s="10">
        <v>3471.2681034765878</v>
      </c>
      <c r="D246" s="11">
        <v>877.22231270116254</v>
      </c>
      <c r="E246" s="10">
        <v>53.150441447960716</v>
      </c>
      <c r="F246" s="10">
        <v>113004.13566042321</v>
      </c>
      <c r="G246" s="10" t="s">
        <v>114</v>
      </c>
      <c r="H246" s="10">
        <v>275062.44094819622</v>
      </c>
      <c r="I246" s="11">
        <v>279960.02229320334</v>
      </c>
      <c r="J246" s="10">
        <v>6.1162415158900494</v>
      </c>
      <c r="K246" s="11">
        <v>15.36854066578635</v>
      </c>
      <c r="L246" s="11">
        <v>4.9450209910930409</v>
      </c>
      <c r="M246" s="11">
        <v>156.48358407107256</v>
      </c>
      <c r="N246" s="11">
        <v>715.41700338852183</v>
      </c>
      <c r="O246" s="10">
        <v>729.79038916820718</v>
      </c>
      <c r="P246" s="10">
        <v>0.4486819073663702</v>
      </c>
      <c r="Q246" s="11">
        <v>3.0690892154983986</v>
      </c>
      <c r="R246" s="11">
        <v>8.8218771050754263</v>
      </c>
      <c r="S246" s="10">
        <v>8.9544361683135865</v>
      </c>
      <c r="T246" s="11">
        <v>105.36601200952538</v>
      </c>
      <c r="U246" s="10">
        <v>100.48279682349363</v>
      </c>
      <c r="V246" s="10">
        <v>7.9450612214659255</v>
      </c>
      <c r="W246" s="10" t="s">
        <v>114</v>
      </c>
      <c r="X246" s="10" t="s">
        <v>114</v>
      </c>
      <c r="Y246" s="11">
        <v>977.38275125166922</v>
      </c>
      <c r="Z246" s="10">
        <v>6.1945130796611005</v>
      </c>
      <c r="AA246" s="10">
        <v>3.6066981089090153</v>
      </c>
      <c r="AB246" s="10">
        <v>3.83945775348089</v>
      </c>
      <c r="AC246" s="10" t="s">
        <v>114</v>
      </c>
      <c r="AD246" s="10" t="s">
        <v>114</v>
      </c>
      <c r="AE246" s="10" t="s">
        <v>114</v>
      </c>
      <c r="AF246" s="10">
        <v>6.0635472544840145E-3</v>
      </c>
      <c r="AG246" s="11">
        <v>28.347141222034058</v>
      </c>
      <c r="AH246" s="11">
        <v>6.8585723258641582E-2</v>
      </c>
      <c r="AI246" s="11">
        <v>0.17086363571786869</v>
      </c>
      <c r="AJ246" s="11">
        <v>1.588137670665786E-2</v>
      </c>
      <c r="AK246" s="11">
        <v>6.24017618414607E-2</v>
      </c>
      <c r="AL246" s="11">
        <v>1.3398656773430804E-2</v>
      </c>
      <c r="AM246" s="11">
        <v>5.8775485282424956E-3</v>
      </c>
      <c r="AN246" s="11">
        <v>2.7358881132744043E-2</v>
      </c>
      <c r="AO246" s="11">
        <v>6.223571676978114E-3</v>
      </c>
      <c r="AP246" s="11">
        <v>2.8676747980016855E-2</v>
      </c>
      <c r="AQ246" s="11" t="s">
        <v>114</v>
      </c>
      <c r="AR246" s="11">
        <v>2.4367422109801154E-2</v>
      </c>
      <c r="AS246" s="11">
        <v>4.1469685354845066E-3</v>
      </c>
      <c r="AT246" s="11">
        <v>2.2203727050265961E-2</v>
      </c>
      <c r="AU246" s="11">
        <v>5.2415326914799949E-3</v>
      </c>
      <c r="AV246" s="10">
        <v>1.7447001550277408</v>
      </c>
      <c r="AW246" s="10">
        <v>9.7600138180713696</v>
      </c>
      <c r="AX246" s="10" t="s">
        <v>114</v>
      </c>
      <c r="AY246" s="10" t="s">
        <v>114</v>
      </c>
      <c r="AZ246" s="10">
        <v>68.662244658680606</v>
      </c>
      <c r="BA246" s="10">
        <v>61.866337532126956</v>
      </c>
      <c r="BB246" s="11">
        <v>64.886179152277904</v>
      </c>
      <c r="BC246" s="11" t="s">
        <v>114</v>
      </c>
      <c r="BD246" s="11">
        <v>36.301680126887611</v>
      </c>
    </row>
    <row r="247" spans="1:56" x14ac:dyDescent="0.3">
      <c r="A247" s="1" t="s">
        <v>94</v>
      </c>
      <c r="B247" t="s">
        <v>61</v>
      </c>
      <c r="C247" s="10">
        <v>3076.0995376028714</v>
      </c>
      <c r="D247" s="11">
        <v>871.70115933770603</v>
      </c>
      <c r="E247" s="10">
        <v>99.545163208602986</v>
      </c>
      <c r="F247" s="10">
        <v>113622.88745163906</v>
      </c>
      <c r="G247" s="10" t="s">
        <v>114</v>
      </c>
      <c r="H247" s="10">
        <v>276215.0856334861</v>
      </c>
      <c r="I247" s="11">
        <v>282170.89209451142</v>
      </c>
      <c r="J247" s="10" t="s">
        <v>114</v>
      </c>
      <c r="K247" s="11">
        <v>77.18356977105735</v>
      </c>
      <c r="L247" s="11">
        <v>36.357144083149329</v>
      </c>
      <c r="M247" s="11">
        <v>663.77704076384259</v>
      </c>
      <c r="N247" s="11">
        <v>11068.106951397962</v>
      </c>
      <c r="O247" s="10">
        <v>11202.220510998079</v>
      </c>
      <c r="P247" s="10">
        <v>3.3270160128020083</v>
      </c>
      <c r="Q247" s="11">
        <v>25.639610798650679</v>
      </c>
      <c r="R247" s="11">
        <v>20.211726990833569</v>
      </c>
      <c r="S247" s="10">
        <v>20.541520271863408</v>
      </c>
      <c r="T247" s="11">
        <v>115.2385630914453</v>
      </c>
      <c r="U247" s="10">
        <v>111.06534069622265</v>
      </c>
      <c r="V247" s="10">
        <v>54.036050228006246</v>
      </c>
      <c r="W247" s="10" t="s">
        <v>114</v>
      </c>
      <c r="X247" s="10" t="s">
        <v>114</v>
      </c>
      <c r="Y247" s="11">
        <v>974.25120890033327</v>
      </c>
      <c r="Z247" s="10">
        <v>6.5838005505211212</v>
      </c>
      <c r="AA247" s="10">
        <v>3.2917517360129573</v>
      </c>
      <c r="AB247" s="10">
        <v>3.4823830101065147</v>
      </c>
      <c r="AC247" s="10" t="s">
        <v>114</v>
      </c>
      <c r="AD247" s="10" t="s">
        <v>114</v>
      </c>
      <c r="AE247" s="10" t="s">
        <v>114</v>
      </c>
      <c r="AF247" s="10">
        <v>5.7228892953242487E-3</v>
      </c>
      <c r="AG247" s="11">
        <v>59.294437141474546</v>
      </c>
      <c r="AH247" s="11" t="s">
        <v>114</v>
      </c>
      <c r="AI247" s="11" t="s">
        <v>114</v>
      </c>
      <c r="AJ247" s="11" t="s">
        <v>114</v>
      </c>
      <c r="AK247" s="11" t="s">
        <v>114</v>
      </c>
      <c r="AL247" s="11">
        <v>1.5619167699528504E-2</v>
      </c>
      <c r="AM247" s="11" t="s">
        <v>114</v>
      </c>
      <c r="AN247" s="11">
        <v>1.2419649650065544E-2</v>
      </c>
      <c r="AO247" s="11" t="s">
        <v>114</v>
      </c>
      <c r="AP247" s="11">
        <v>1.5081915659072931E-2</v>
      </c>
      <c r="AQ247" s="11" t="s">
        <v>114</v>
      </c>
      <c r="AR247" s="11">
        <v>1.3308777676146763E-2</v>
      </c>
      <c r="AS247" s="11" t="s">
        <v>114</v>
      </c>
      <c r="AT247" s="11">
        <v>2.0436598285710678E-2</v>
      </c>
      <c r="AU247" s="11">
        <v>3.7913099854004094E-3</v>
      </c>
      <c r="AV247" s="10">
        <v>1.6919450511224372</v>
      </c>
      <c r="AW247" s="10">
        <v>9.8409152645947469</v>
      </c>
      <c r="AX247" s="10" t="s">
        <v>114</v>
      </c>
      <c r="AY247" s="10" t="s">
        <v>114</v>
      </c>
      <c r="AZ247" s="10">
        <v>6.7849364828407897</v>
      </c>
      <c r="BA247" s="10">
        <v>6.1138934439863641</v>
      </c>
      <c r="BB247" s="11">
        <v>6.3803947545928592</v>
      </c>
      <c r="BC247" s="11" t="s">
        <v>114</v>
      </c>
      <c r="BD247" s="11">
        <v>31.283819530926696</v>
      </c>
    </row>
    <row r="248" spans="1:56" x14ac:dyDescent="0.3">
      <c r="A248" s="1" t="s">
        <v>333</v>
      </c>
      <c r="B248" t="s">
        <v>63</v>
      </c>
      <c r="C248" s="10">
        <v>9460.9753230542956</v>
      </c>
      <c r="D248" s="11">
        <v>1701.9822300445303</v>
      </c>
      <c r="E248" s="10">
        <v>129.88282366344748</v>
      </c>
      <c r="F248" s="10">
        <v>266315.60484141408</v>
      </c>
      <c r="G248" s="10" t="s">
        <v>114</v>
      </c>
      <c r="H248" s="10">
        <v>672379.27492613473</v>
      </c>
      <c r="I248" s="11">
        <v>684610.55658132071</v>
      </c>
      <c r="J248" s="10">
        <v>7.3103254860125162</v>
      </c>
      <c r="K248" s="11">
        <v>60.773727992463634</v>
      </c>
      <c r="L248" s="11">
        <v>19.727987360727759</v>
      </c>
      <c r="M248" s="11">
        <v>801.12991326912118</v>
      </c>
      <c r="N248" s="11">
        <v>5718.5476701389571</v>
      </c>
      <c r="O248" s="10">
        <v>5722.6831489957149</v>
      </c>
      <c r="P248" s="10">
        <v>2.9337265320524128</v>
      </c>
      <c r="Q248" s="11">
        <v>18.752684429399967</v>
      </c>
      <c r="R248" s="11">
        <v>32.31864008016526</v>
      </c>
      <c r="S248" s="10">
        <v>32.945727993003871</v>
      </c>
      <c r="T248" s="11">
        <v>241.25255283441709</v>
      </c>
      <c r="U248" s="10">
        <v>241.34705647421222</v>
      </c>
      <c r="V248" s="10">
        <v>51.455194808232392</v>
      </c>
      <c r="W248" s="10" t="s">
        <v>114</v>
      </c>
      <c r="X248" s="10" t="s">
        <v>114</v>
      </c>
      <c r="Y248" s="11">
        <v>2503.8015967388851</v>
      </c>
      <c r="Z248" s="10">
        <v>9.2245724467669135</v>
      </c>
      <c r="AA248" s="10">
        <v>4.6652298842806612</v>
      </c>
      <c r="AB248" s="10">
        <v>4.9658969878190762</v>
      </c>
      <c r="AC248" s="10" t="s">
        <v>114</v>
      </c>
      <c r="AD248" s="10" t="s">
        <v>114</v>
      </c>
      <c r="AE248" s="10">
        <v>2.9732495863210406</v>
      </c>
      <c r="AF248" s="10">
        <v>1.0603517007091995E-2</v>
      </c>
      <c r="AG248" s="11">
        <v>119.21120409835875</v>
      </c>
      <c r="AH248" s="11" t="s">
        <v>114</v>
      </c>
      <c r="AI248" s="11" t="s">
        <v>114</v>
      </c>
      <c r="AJ248" s="11" t="s">
        <v>114</v>
      </c>
      <c r="AK248" s="11" t="s">
        <v>114</v>
      </c>
      <c r="AL248" s="11" t="s">
        <v>114</v>
      </c>
      <c r="AM248" s="11">
        <v>7.3910591040403442E-3</v>
      </c>
      <c r="AN248" s="11">
        <v>2.7678286475827898E-2</v>
      </c>
      <c r="AO248" s="11" t="s">
        <v>114</v>
      </c>
      <c r="AP248" s="11">
        <v>6.0678796667778319E-2</v>
      </c>
      <c r="AQ248" s="11" t="s">
        <v>114</v>
      </c>
      <c r="AR248" s="11">
        <v>4.1533285412032439E-2</v>
      </c>
      <c r="AS248" s="11">
        <v>8.9122135705235108E-3</v>
      </c>
      <c r="AT248" s="11">
        <v>4.8154220908023411E-2</v>
      </c>
      <c r="AU248" s="11">
        <v>7.8086285441535371E-3</v>
      </c>
      <c r="AV248" s="10">
        <v>2.8379295415968553</v>
      </c>
      <c r="AW248" s="10">
        <v>24.717595626423691</v>
      </c>
      <c r="AX248" s="10" t="s">
        <v>114</v>
      </c>
      <c r="AY248" s="10" t="s">
        <v>114</v>
      </c>
      <c r="AZ248" s="10">
        <v>12.235622180865002</v>
      </c>
      <c r="BA248" s="10">
        <v>10.928711004905486</v>
      </c>
      <c r="BB248" s="11">
        <v>11.527149256703973</v>
      </c>
      <c r="BC248" s="11" t="s">
        <v>114</v>
      </c>
      <c r="BD248" s="11">
        <v>91.432798946955771</v>
      </c>
    </row>
    <row r="249" spans="1:56" x14ac:dyDescent="0.3">
      <c r="A249" s="1" t="s">
        <v>95</v>
      </c>
      <c r="B249" t="s">
        <v>61</v>
      </c>
      <c r="C249" s="10">
        <v>4490.9264615633119</v>
      </c>
      <c r="D249" s="11">
        <v>996.43541396500268</v>
      </c>
      <c r="E249" s="10">
        <v>162.67695545225294</v>
      </c>
      <c r="F249" s="10">
        <v>134557.02801377949</v>
      </c>
      <c r="G249" s="10" t="s">
        <v>114</v>
      </c>
      <c r="H249" s="10">
        <v>326514.77029805299</v>
      </c>
      <c r="I249" s="11">
        <v>331765.49202267412</v>
      </c>
      <c r="J249" s="10" t="s">
        <v>114</v>
      </c>
      <c r="K249" s="11">
        <v>63.259602120420261</v>
      </c>
      <c r="L249" s="11">
        <v>7.6187554920300649</v>
      </c>
      <c r="M249" s="11">
        <v>287.14802364433888</v>
      </c>
      <c r="N249" s="11">
        <v>12369.229224275936</v>
      </c>
      <c r="O249" s="10">
        <v>12414.652824845925</v>
      </c>
      <c r="P249" s="10">
        <v>10.721545861148311</v>
      </c>
      <c r="Q249" s="11">
        <v>26.7370412891656</v>
      </c>
      <c r="R249" s="11">
        <v>24.673575471843208</v>
      </c>
      <c r="S249" s="10">
        <v>24.971412330167546</v>
      </c>
      <c r="T249" s="11">
        <v>93.35464887529038</v>
      </c>
      <c r="U249" s="10">
        <v>92.544519659889048</v>
      </c>
      <c r="V249" s="10">
        <v>171.36860043651873</v>
      </c>
      <c r="W249" s="10" t="s">
        <v>114</v>
      </c>
      <c r="X249" s="10">
        <v>0.27501355819604351</v>
      </c>
      <c r="Y249" s="11">
        <v>1106.6225659146664</v>
      </c>
      <c r="Z249" s="10">
        <v>12.245898051357013</v>
      </c>
      <c r="AA249" s="10">
        <v>1.3515507336311015</v>
      </c>
      <c r="AB249" s="10">
        <v>1.4704718258502532</v>
      </c>
      <c r="AC249" s="10" t="s">
        <v>114</v>
      </c>
      <c r="AD249" s="10" t="s">
        <v>114</v>
      </c>
      <c r="AE249" s="10" t="s">
        <v>114</v>
      </c>
      <c r="AF249" s="10">
        <v>1.1281723172452044E-2</v>
      </c>
      <c r="AG249" s="11">
        <v>67.381722226665076</v>
      </c>
      <c r="AH249" s="11">
        <v>0.10009330436824401</v>
      </c>
      <c r="AI249" s="11">
        <v>0.13229549736130281</v>
      </c>
      <c r="AJ249" s="11" t="s">
        <v>114</v>
      </c>
      <c r="AK249" s="11" t="s">
        <v>114</v>
      </c>
      <c r="AL249" s="11">
        <v>1.0201372296910528E-2</v>
      </c>
      <c r="AM249" s="11">
        <v>4.527539277185774E-3</v>
      </c>
      <c r="AN249" s="11">
        <v>2.249095155848958E-2</v>
      </c>
      <c r="AO249" s="11">
        <v>5.4608159140989605E-3</v>
      </c>
      <c r="AP249" s="11">
        <v>2.728911770941982E-2</v>
      </c>
      <c r="AQ249" s="11">
        <v>1.0746884374376436E-2</v>
      </c>
      <c r="AR249" s="11">
        <v>4.7346149132856716E-2</v>
      </c>
      <c r="AS249" s="11">
        <v>9.0625383453385184E-3</v>
      </c>
      <c r="AT249" s="11">
        <v>7.5202073832220773E-2</v>
      </c>
      <c r="AU249" s="11">
        <v>1.5502041679668576E-2</v>
      </c>
      <c r="AV249" s="10">
        <v>1.5184308508545525</v>
      </c>
      <c r="AW249" s="10">
        <v>10.492732007952466</v>
      </c>
      <c r="AX249" s="10" t="s">
        <v>114</v>
      </c>
      <c r="AY249" s="10" t="s">
        <v>114</v>
      </c>
      <c r="AZ249" s="10">
        <v>197.26892778400568</v>
      </c>
      <c r="BA249" s="10">
        <v>178.10613382825096</v>
      </c>
      <c r="BB249" s="11">
        <v>186.59480625584425</v>
      </c>
      <c r="BC249" s="11" t="s">
        <v>114</v>
      </c>
      <c r="BD249" s="11">
        <v>51.405378084866747</v>
      </c>
    </row>
    <row r="250" spans="1:56" x14ac:dyDescent="0.3">
      <c r="A250" s="1" t="s">
        <v>96</v>
      </c>
      <c r="B250" t="s">
        <v>61</v>
      </c>
      <c r="C250" s="10">
        <v>4840.9705605956888</v>
      </c>
      <c r="D250" s="11">
        <v>1112.856467339341</v>
      </c>
      <c r="E250" s="10">
        <v>109.63300380092612</v>
      </c>
      <c r="F250" s="10">
        <v>159933.56222631791</v>
      </c>
      <c r="G250" s="10" t="s">
        <v>114</v>
      </c>
      <c r="H250" s="10">
        <v>384129.60018356983</v>
      </c>
      <c r="I250" s="11">
        <v>394629.36854145973</v>
      </c>
      <c r="J250" s="10">
        <v>4.5044645580853544</v>
      </c>
      <c r="K250" s="11">
        <v>50.54370344413104</v>
      </c>
      <c r="L250" s="11">
        <v>13.490293541870843</v>
      </c>
      <c r="M250" s="11">
        <v>384.72614453803203</v>
      </c>
      <c r="N250" s="11">
        <v>3208.9437609536744</v>
      </c>
      <c r="O250" s="10">
        <v>3230.0807359852652</v>
      </c>
      <c r="P250" s="10">
        <v>0.89069664395086501</v>
      </c>
      <c r="Q250" s="11">
        <v>8.5956379154800668</v>
      </c>
      <c r="R250" s="11">
        <v>16.09176152418167</v>
      </c>
      <c r="S250" s="10">
        <v>16.269525342115738</v>
      </c>
      <c r="T250" s="11">
        <v>107.01673988736783</v>
      </c>
      <c r="U250" s="10">
        <v>103.57596126699609</v>
      </c>
      <c r="V250" s="10">
        <v>22.477455732361811</v>
      </c>
      <c r="W250" s="10" t="s">
        <v>114</v>
      </c>
      <c r="X250" s="10" t="s">
        <v>114</v>
      </c>
      <c r="Y250" s="11">
        <v>1503.5626892008004</v>
      </c>
      <c r="Z250" s="10">
        <v>9.5501836143346903</v>
      </c>
      <c r="AA250" s="10" t="s">
        <v>114</v>
      </c>
      <c r="AB250" s="10" t="s">
        <v>114</v>
      </c>
      <c r="AC250" s="10" t="s">
        <v>114</v>
      </c>
      <c r="AD250" s="10" t="s">
        <v>114</v>
      </c>
      <c r="AE250" s="10" t="s">
        <v>114</v>
      </c>
      <c r="AF250" s="10">
        <v>8.2879056557327632E-3</v>
      </c>
      <c r="AG250" s="11">
        <v>36.780681818118794</v>
      </c>
      <c r="AH250" s="11" t="s">
        <v>114</v>
      </c>
      <c r="AI250" s="11" t="s">
        <v>114</v>
      </c>
      <c r="AJ250" s="11" t="s">
        <v>114</v>
      </c>
      <c r="AK250" s="11" t="s">
        <v>114</v>
      </c>
      <c r="AL250" s="11">
        <v>7.7154200447956713E-3</v>
      </c>
      <c r="AM250" s="11">
        <v>3.5429200139091518E-3</v>
      </c>
      <c r="AN250" s="11" t="s">
        <v>114</v>
      </c>
      <c r="AO250" s="11" t="s">
        <v>114</v>
      </c>
      <c r="AP250" s="11" t="s">
        <v>114</v>
      </c>
      <c r="AQ250" s="11" t="s">
        <v>114</v>
      </c>
      <c r="AR250" s="11" t="s">
        <v>114</v>
      </c>
      <c r="AS250" s="11">
        <v>2.1049079919140319E-3</v>
      </c>
      <c r="AT250" s="11">
        <v>1.3319035621731137E-2</v>
      </c>
      <c r="AU250" s="11" t="s">
        <v>114</v>
      </c>
      <c r="AV250" s="10">
        <v>1.1539535464391082</v>
      </c>
      <c r="AW250" s="10">
        <v>8.6630388051654492</v>
      </c>
      <c r="AX250" s="10" t="s">
        <v>114</v>
      </c>
      <c r="AY250" s="10" t="s">
        <v>114</v>
      </c>
      <c r="AZ250" s="10">
        <v>115.3988066099438</v>
      </c>
      <c r="BA250" s="10">
        <v>104.33291763774743</v>
      </c>
      <c r="BB250" s="11">
        <v>109.44948316609785</v>
      </c>
      <c r="BC250" s="11" t="s">
        <v>114</v>
      </c>
      <c r="BD250" s="11">
        <v>64.487357402354959</v>
      </c>
    </row>
    <row r="251" spans="1:56" x14ac:dyDescent="0.3">
      <c r="A251" s="12" t="s">
        <v>334</v>
      </c>
      <c r="B251" s="13" t="s">
        <v>63</v>
      </c>
      <c r="C251" s="10">
        <v>3775.0445805194572</v>
      </c>
      <c r="D251" s="11">
        <v>805.72744665803339</v>
      </c>
      <c r="E251" s="10">
        <v>42.682592069930784</v>
      </c>
      <c r="F251" s="10">
        <v>134389.01664259908</v>
      </c>
      <c r="G251" s="10" t="s">
        <v>114</v>
      </c>
      <c r="H251" s="10">
        <v>335958.35829859215</v>
      </c>
      <c r="I251" s="11">
        <v>339059.6685496741</v>
      </c>
      <c r="J251" s="10">
        <v>9.0600734775772267</v>
      </c>
      <c r="K251" s="11">
        <v>20.435475829560332</v>
      </c>
      <c r="L251" s="11">
        <v>5.7802624269509222</v>
      </c>
      <c r="M251" s="11">
        <v>602.42784671668755</v>
      </c>
      <c r="N251" s="11">
        <v>904.69632047690732</v>
      </c>
      <c r="O251" s="10">
        <v>916.96529198352073</v>
      </c>
      <c r="P251" s="10">
        <v>1.0937260118056691</v>
      </c>
      <c r="Q251" s="11">
        <v>6.9828172461461602</v>
      </c>
      <c r="R251" s="11">
        <v>13.780313538617396</v>
      </c>
      <c r="S251" s="10">
        <v>14.19425752812368</v>
      </c>
      <c r="T251" s="11">
        <v>121.22953481270827</v>
      </c>
      <c r="U251" s="10">
        <v>120.31953383985044</v>
      </c>
      <c r="V251" s="10">
        <v>8.2876009380290476</v>
      </c>
      <c r="W251" s="10" t="s">
        <v>114</v>
      </c>
      <c r="X251" s="10" t="s">
        <v>114</v>
      </c>
      <c r="Y251" s="11">
        <v>1249.29082869322</v>
      </c>
      <c r="Z251" s="10">
        <v>5.1300234116640304</v>
      </c>
      <c r="AA251" s="10">
        <v>2.7333949652474385</v>
      </c>
      <c r="AB251" s="10">
        <v>2.7287639809045339</v>
      </c>
      <c r="AC251" s="10">
        <v>7.8743746889121072E-2</v>
      </c>
      <c r="AD251" s="10" t="s">
        <v>114</v>
      </c>
      <c r="AE251" s="10">
        <v>2.0913190765606222</v>
      </c>
      <c r="AF251" s="10">
        <v>5.0725748070586732E-3</v>
      </c>
      <c r="AG251" s="11">
        <v>60.146190096820298</v>
      </c>
      <c r="AH251" s="11" t="s">
        <v>114</v>
      </c>
      <c r="AI251" s="11">
        <v>0.62722812198060429</v>
      </c>
      <c r="AJ251" s="11">
        <v>6.6406324236277806E-2</v>
      </c>
      <c r="AK251" s="11">
        <v>0.25345999184923668</v>
      </c>
      <c r="AL251" s="11">
        <v>5.2489689159063241E-2</v>
      </c>
      <c r="AM251" s="11">
        <v>1.7061023191300373E-2</v>
      </c>
      <c r="AN251" s="11">
        <v>8.5673317189264159E-2</v>
      </c>
      <c r="AO251" s="11" t="s">
        <v>114</v>
      </c>
      <c r="AP251" s="11">
        <v>0.1260608685154635</v>
      </c>
      <c r="AQ251" s="11">
        <v>2.8120794024972477E-2</v>
      </c>
      <c r="AR251" s="11">
        <v>0.12467818657366674</v>
      </c>
      <c r="AS251" s="11">
        <v>1.8652594852688192E-2</v>
      </c>
      <c r="AT251" s="11">
        <v>0.14445498180640587</v>
      </c>
      <c r="AU251" s="11">
        <v>1.9045715072848256E-2</v>
      </c>
      <c r="AV251" s="10">
        <v>3.0235575353193358</v>
      </c>
      <c r="AW251" s="10">
        <v>14.433205842148476</v>
      </c>
      <c r="AX251" s="10" t="s">
        <v>114</v>
      </c>
      <c r="AY251" s="10" t="s">
        <v>114</v>
      </c>
      <c r="AZ251" s="10">
        <v>8.6386304220566412</v>
      </c>
      <c r="BA251" s="10">
        <v>7.8012970086321527</v>
      </c>
      <c r="BB251" s="11">
        <v>8.1500777719780544</v>
      </c>
      <c r="BC251" s="11" t="s">
        <v>114</v>
      </c>
      <c r="BD251" s="11">
        <v>43.585966567630301</v>
      </c>
    </row>
    <row r="252" spans="1:56" x14ac:dyDescent="0.3">
      <c r="A252" s="12" t="s">
        <v>335</v>
      </c>
      <c r="B252" s="13" t="s">
        <v>63</v>
      </c>
      <c r="C252" s="10">
        <v>5503.6874922573388</v>
      </c>
      <c r="D252" s="11">
        <v>1135.9665228773611</v>
      </c>
      <c r="E252" s="10">
        <v>147.74835750315049</v>
      </c>
      <c r="F252" s="10">
        <v>126055.7337869995</v>
      </c>
      <c r="G252" s="10" t="s">
        <v>114</v>
      </c>
      <c r="H252" s="10">
        <v>313273.36337757664</v>
      </c>
      <c r="I252" s="11">
        <v>321982.61441516643</v>
      </c>
      <c r="J252" s="10">
        <v>3.8918451461406653</v>
      </c>
      <c r="K252" s="11">
        <v>29.245040581491782</v>
      </c>
      <c r="L252" s="11">
        <v>9.4245563963116954</v>
      </c>
      <c r="M252" s="11">
        <v>1363.8350697176886</v>
      </c>
      <c r="N252" s="11">
        <v>8356.794675174724</v>
      </c>
      <c r="O252" s="10">
        <v>8278.2647485648722</v>
      </c>
      <c r="P252" s="10">
        <v>11.906033092305238</v>
      </c>
      <c r="Q252" s="11">
        <v>21.110093873145935</v>
      </c>
      <c r="R252" s="11">
        <v>63.453838710737777</v>
      </c>
      <c r="S252" s="10">
        <v>63.012543372095472</v>
      </c>
      <c r="T252" s="11">
        <v>106.00832848379326</v>
      </c>
      <c r="U252" s="10">
        <v>104.14881094132043</v>
      </c>
      <c r="V252" s="10">
        <v>36.549144975447177</v>
      </c>
      <c r="W252" s="10" t="s">
        <v>114</v>
      </c>
      <c r="X252" s="10" t="s">
        <v>114</v>
      </c>
      <c r="Y252" s="11">
        <v>1223.6308982667499</v>
      </c>
      <c r="Z252" s="10">
        <v>6.2763045635723609</v>
      </c>
      <c r="AA252" s="10">
        <v>2.3199631687964293</v>
      </c>
      <c r="AB252" s="10">
        <v>2.3553806933456203</v>
      </c>
      <c r="AC252" s="10" t="s">
        <v>114</v>
      </c>
      <c r="AD252" s="10" t="s">
        <v>114</v>
      </c>
      <c r="AE252" s="10">
        <v>1.5634364977672637</v>
      </c>
      <c r="AF252" s="10">
        <v>6.3226835506482353E-3</v>
      </c>
      <c r="AG252" s="11">
        <v>71.21380384265612</v>
      </c>
      <c r="AH252" s="11" t="s">
        <v>114</v>
      </c>
      <c r="AI252" s="11" t="s">
        <v>114</v>
      </c>
      <c r="AJ252" s="11" t="s">
        <v>114</v>
      </c>
      <c r="AK252" s="11" t="s">
        <v>114</v>
      </c>
      <c r="AL252" s="11" t="s">
        <v>114</v>
      </c>
      <c r="AM252" s="11">
        <v>6.9858842200888442E-3</v>
      </c>
      <c r="AN252" s="11">
        <v>2.9629379644025063E-2</v>
      </c>
      <c r="AO252" s="11" t="s">
        <v>114</v>
      </c>
      <c r="AP252" s="11">
        <v>5.0646597145865967E-2</v>
      </c>
      <c r="AQ252" s="11" t="s">
        <v>114</v>
      </c>
      <c r="AR252" s="11">
        <v>6.6934959113508441E-2</v>
      </c>
      <c r="AS252" s="11">
        <v>1.247578180873465E-2</v>
      </c>
      <c r="AT252" s="11">
        <v>9.58297485288922E-2</v>
      </c>
      <c r="AU252" s="11">
        <v>1.7343167702653015E-2</v>
      </c>
      <c r="AV252" s="10">
        <v>2.3424871009807275</v>
      </c>
      <c r="AW252" s="10">
        <v>14.631909862988016</v>
      </c>
      <c r="AX252" s="10" t="s">
        <v>114</v>
      </c>
      <c r="AY252" s="10" t="s">
        <v>114</v>
      </c>
      <c r="AZ252" s="10">
        <v>37.549892299621476</v>
      </c>
      <c r="BA252" s="10">
        <v>34.06099605169149</v>
      </c>
      <c r="BB252" s="11">
        <v>35.451598910342945</v>
      </c>
      <c r="BC252" s="11" t="s">
        <v>114</v>
      </c>
      <c r="BD252" s="11">
        <v>36.444938395072455</v>
      </c>
    </row>
    <row r="253" spans="1:56" x14ac:dyDescent="0.3">
      <c r="A253" s="12" t="s">
        <v>336</v>
      </c>
      <c r="B253" s="13" t="s">
        <v>63</v>
      </c>
      <c r="C253" s="10">
        <v>4074.5417531908283</v>
      </c>
      <c r="D253" s="11">
        <v>959.24977283504131</v>
      </c>
      <c r="E253" s="10">
        <v>141.82732947602375</v>
      </c>
      <c r="F253" s="10">
        <v>134925.91328285975</v>
      </c>
      <c r="G253" s="10" t="s">
        <v>114</v>
      </c>
      <c r="H253" s="10">
        <v>333814.05948948173</v>
      </c>
      <c r="I253" s="11">
        <v>339681.16694858257</v>
      </c>
      <c r="J253" s="10" t="s">
        <v>114</v>
      </c>
      <c r="K253" s="11">
        <v>29.29695657244006</v>
      </c>
      <c r="L253" s="11">
        <v>12.159525980525126</v>
      </c>
      <c r="M253" s="11">
        <v>3259.9846709523813</v>
      </c>
      <c r="N253" s="11">
        <v>2629.1835879074442</v>
      </c>
      <c r="O253" s="10">
        <v>2639.4342757439599</v>
      </c>
      <c r="P253" s="10">
        <v>83.963943527124968</v>
      </c>
      <c r="Q253" s="11">
        <v>71.071431218414233</v>
      </c>
      <c r="R253" s="11">
        <v>49.43103707258534</v>
      </c>
      <c r="S253" s="10">
        <v>49.60161806529895</v>
      </c>
      <c r="T253" s="11">
        <v>108.50615401419508</v>
      </c>
      <c r="U253" s="10">
        <v>108.90347105871051</v>
      </c>
      <c r="V253" s="10">
        <v>16.83988003542904</v>
      </c>
      <c r="W253" s="10" t="s">
        <v>114</v>
      </c>
      <c r="X253" s="10" t="s">
        <v>114</v>
      </c>
      <c r="Y253" s="11">
        <v>1262.0479908576497</v>
      </c>
      <c r="Z253" s="10">
        <v>5.3463612293502623</v>
      </c>
      <c r="AA253" s="10">
        <v>3.2785800539760195</v>
      </c>
      <c r="AB253" s="10">
        <v>3.220850040504259</v>
      </c>
      <c r="AC253" s="10" t="s">
        <v>114</v>
      </c>
      <c r="AD253" s="10" t="s">
        <v>114</v>
      </c>
      <c r="AE253" s="10">
        <v>0.81939017863676133</v>
      </c>
      <c r="AF253" s="10">
        <v>3.882487912971935E-3</v>
      </c>
      <c r="AG253" s="11">
        <v>74.221604065878623</v>
      </c>
      <c r="AH253" s="11" t="s">
        <v>114</v>
      </c>
      <c r="AI253" s="11" t="s">
        <v>114</v>
      </c>
      <c r="AJ253" s="11" t="s">
        <v>114</v>
      </c>
      <c r="AK253" s="11" t="s">
        <v>114</v>
      </c>
      <c r="AL253" s="11" t="s">
        <v>114</v>
      </c>
      <c r="AM253" s="11">
        <v>5.6839746554400005E-3</v>
      </c>
      <c r="AN253" s="11">
        <v>2.1414941495673197E-2</v>
      </c>
      <c r="AO253" s="11" t="s">
        <v>114</v>
      </c>
      <c r="AP253" s="11">
        <v>3.1774604176053871E-2</v>
      </c>
      <c r="AQ253" s="11" t="s">
        <v>114</v>
      </c>
      <c r="AR253" s="11">
        <v>4.3188038392425181E-2</v>
      </c>
      <c r="AS253" s="11">
        <v>7.3356491118997018E-3</v>
      </c>
      <c r="AT253" s="11">
        <v>5.3142241790180365E-2</v>
      </c>
      <c r="AU253" s="11">
        <v>1.0749629273116536E-2</v>
      </c>
      <c r="AV253" s="10">
        <v>1.6954683879855428</v>
      </c>
      <c r="AW253" s="10">
        <v>13.957359158254016</v>
      </c>
      <c r="AX253" s="10" t="s">
        <v>114</v>
      </c>
      <c r="AY253" s="10" t="s">
        <v>114</v>
      </c>
      <c r="AZ253" s="10">
        <v>12.740537254024817</v>
      </c>
      <c r="BA253" s="10">
        <v>11.591916220126157</v>
      </c>
      <c r="BB253" s="11">
        <v>12.136334672488601</v>
      </c>
      <c r="BC253" s="11" t="s">
        <v>114</v>
      </c>
      <c r="BD253" s="11">
        <v>35.664912266807931</v>
      </c>
    </row>
    <row r="254" spans="1:56" x14ac:dyDescent="0.3">
      <c r="A254" s="12" t="s">
        <v>337</v>
      </c>
      <c r="B254" s="13" t="s">
        <v>63</v>
      </c>
      <c r="C254" s="10">
        <v>4163.2463564938789</v>
      </c>
      <c r="D254" s="11">
        <v>934.82126547372559</v>
      </c>
      <c r="E254" s="10">
        <v>217.56658054933325</v>
      </c>
      <c r="F254" s="10">
        <v>126325.66556684392</v>
      </c>
      <c r="G254" s="10" t="s">
        <v>114</v>
      </c>
      <c r="H254" s="10">
        <v>319409.39287368557</v>
      </c>
      <c r="I254" s="11">
        <v>326635.32944543054</v>
      </c>
      <c r="J254" s="10">
        <v>14.002554471716939</v>
      </c>
      <c r="K254" s="11">
        <v>56.977916838166152</v>
      </c>
      <c r="L254" s="11">
        <v>15.111531277025675</v>
      </c>
      <c r="M254" s="11">
        <v>1168.4963058835563</v>
      </c>
      <c r="N254" s="11">
        <v>9080.9939090738972</v>
      </c>
      <c r="O254" s="10">
        <v>8935.7664673787222</v>
      </c>
      <c r="P254" s="10">
        <v>10.933642948697161</v>
      </c>
      <c r="Q254" s="11">
        <v>24.443773175623768</v>
      </c>
      <c r="R254" s="11">
        <v>41.682484944124489</v>
      </c>
      <c r="S254" s="10">
        <v>41.639232065533562</v>
      </c>
      <c r="T254" s="11">
        <v>125.95024437526068</v>
      </c>
      <c r="U254" s="10">
        <v>122.70931150424406</v>
      </c>
      <c r="V254" s="10">
        <v>48.889905741320547</v>
      </c>
      <c r="W254" s="10" t="s">
        <v>114</v>
      </c>
      <c r="X254" s="10" t="s">
        <v>114</v>
      </c>
      <c r="Y254" s="11">
        <v>1356.96967261036</v>
      </c>
      <c r="Z254" s="10">
        <v>8.4038409360884607</v>
      </c>
      <c r="AA254" s="10">
        <v>1.5076891743255054</v>
      </c>
      <c r="AB254" s="10">
        <v>1.5132332019427506</v>
      </c>
      <c r="AC254" s="10" t="s">
        <v>114</v>
      </c>
      <c r="AD254" s="10" t="s">
        <v>114</v>
      </c>
      <c r="AE254" s="10">
        <v>2.0828566120292646</v>
      </c>
      <c r="AF254" s="10">
        <v>5.8731631264730758E-3</v>
      </c>
      <c r="AG254" s="11">
        <v>48.574320772342716</v>
      </c>
      <c r="AH254" s="11" t="s">
        <v>114</v>
      </c>
      <c r="AI254" s="11">
        <v>0.5202973512779594</v>
      </c>
      <c r="AJ254" s="11">
        <v>5.2519998128096185E-2</v>
      </c>
      <c r="AK254" s="11">
        <v>0.20051151653941665</v>
      </c>
      <c r="AL254" s="11" t="s">
        <v>114</v>
      </c>
      <c r="AM254" s="11">
        <v>1.5957985877249527E-2</v>
      </c>
      <c r="AN254" s="11">
        <v>8.4115289710826199E-2</v>
      </c>
      <c r="AO254" s="11" t="s">
        <v>114</v>
      </c>
      <c r="AP254" s="11">
        <v>0.13188862103399909</v>
      </c>
      <c r="AQ254" s="11">
        <v>3.8041693600055618E-2</v>
      </c>
      <c r="AR254" s="11">
        <v>0.16047211608708767</v>
      </c>
      <c r="AS254" s="11">
        <v>2.652439088583515E-2</v>
      </c>
      <c r="AT254" s="11">
        <v>0.21403721014957078</v>
      </c>
      <c r="AU254" s="11">
        <v>4.2082305338705703E-2</v>
      </c>
      <c r="AV254" s="10">
        <v>2.3467996522061165</v>
      </c>
      <c r="AW254" s="10">
        <v>14.977544142557893</v>
      </c>
      <c r="AX254" s="10" t="s">
        <v>114</v>
      </c>
      <c r="AY254" s="10" t="s">
        <v>114</v>
      </c>
      <c r="AZ254" s="10">
        <v>23.306297766241702</v>
      </c>
      <c r="BA254" s="10">
        <v>20.999103029695373</v>
      </c>
      <c r="BB254" s="11">
        <v>22.009435002560441</v>
      </c>
      <c r="BC254" s="11" t="s">
        <v>114</v>
      </c>
      <c r="BD254" s="11">
        <v>50.700451594332357</v>
      </c>
    </row>
    <row r="255" spans="1:56" x14ac:dyDescent="0.3">
      <c r="A255" s="12" t="s">
        <v>338</v>
      </c>
      <c r="B255" s="13" t="s">
        <v>63</v>
      </c>
      <c r="C255" s="10">
        <v>4213.3036288936901</v>
      </c>
      <c r="D255" s="11">
        <v>859.11511690354723</v>
      </c>
      <c r="E255" s="10">
        <v>184.09913898982558</v>
      </c>
      <c r="F255" s="10">
        <v>126853.60856317285</v>
      </c>
      <c r="G255" s="10" t="s">
        <v>114</v>
      </c>
      <c r="H255" s="10">
        <v>315144.19030211016</v>
      </c>
      <c r="I255" s="11">
        <v>321255.46995648637</v>
      </c>
      <c r="J255" s="10">
        <v>11.675452061062648</v>
      </c>
      <c r="K255" s="11">
        <v>49.722725025256828</v>
      </c>
      <c r="L255" s="11">
        <v>13.176126666870314</v>
      </c>
      <c r="M255" s="11">
        <v>1466.1645272297892</v>
      </c>
      <c r="N255" s="11">
        <v>7578.1913453002198</v>
      </c>
      <c r="O255" s="10">
        <v>7499.4333950176961</v>
      </c>
      <c r="P255" s="10">
        <v>10.128058000740324</v>
      </c>
      <c r="Q255" s="11">
        <v>26.59197888148239</v>
      </c>
      <c r="R255" s="11">
        <v>43.646415635718405</v>
      </c>
      <c r="S255" s="10">
        <v>43.568104096054071</v>
      </c>
      <c r="T255" s="11">
        <v>234.21042819708401</v>
      </c>
      <c r="U255" s="10">
        <v>227.81974127397777</v>
      </c>
      <c r="V255" s="10">
        <v>40.867255832176909</v>
      </c>
      <c r="W255" s="10" t="s">
        <v>114</v>
      </c>
      <c r="X255" s="10" t="s">
        <v>114</v>
      </c>
      <c r="Y255" s="11">
        <v>1164.8872376049737</v>
      </c>
      <c r="Z255" s="10">
        <v>8.8704080953111006</v>
      </c>
      <c r="AA255" s="10">
        <v>1.6413494969345146</v>
      </c>
      <c r="AB255" s="10">
        <v>1.7901523393365877</v>
      </c>
      <c r="AC255" s="10">
        <v>0.8098549238006657</v>
      </c>
      <c r="AD255" s="10" t="s">
        <v>114</v>
      </c>
      <c r="AE255" s="10">
        <v>1.7875855990934846</v>
      </c>
      <c r="AF255" s="10">
        <v>3.6854076814716781E-3</v>
      </c>
      <c r="AG255" s="11">
        <v>43.000098217773889</v>
      </c>
      <c r="AH255" s="11" t="s">
        <v>114</v>
      </c>
      <c r="AI255" s="11">
        <v>0.40415688601402427</v>
      </c>
      <c r="AJ255" s="11">
        <v>4.2715331509648978E-2</v>
      </c>
      <c r="AK255" s="11">
        <v>0.18000509031437015</v>
      </c>
      <c r="AL255" s="11">
        <v>4.8258217407406372E-2</v>
      </c>
      <c r="AM255" s="11">
        <v>1.5366341665117614E-2</v>
      </c>
      <c r="AN255" s="11">
        <v>6.4868690072365592E-2</v>
      </c>
      <c r="AO255" s="11" t="s">
        <v>114</v>
      </c>
      <c r="AP255" s="11">
        <v>9.2159190316358247E-2</v>
      </c>
      <c r="AQ255" s="11">
        <v>2.5343479663747118E-2</v>
      </c>
      <c r="AR255" s="11">
        <v>0.10483892551124843</v>
      </c>
      <c r="AS255" s="11">
        <v>1.6868523908453618E-2</v>
      </c>
      <c r="AT255" s="11">
        <v>0.1095911769099618</v>
      </c>
      <c r="AU255" s="11">
        <v>1.649424296366955E-2</v>
      </c>
      <c r="AV255" s="10">
        <v>5.0078820365534078</v>
      </c>
      <c r="AW255" s="10">
        <v>13.466866174601986</v>
      </c>
      <c r="AX255" s="10" t="s">
        <v>114</v>
      </c>
      <c r="AY255" s="10" t="s">
        <v>114</v>
      </c>
      <c r="AZ255" s="10">
        <v>6.431770117750566</v>
      </c>
      <c r="BA255" s="10">
        <v>5.858798395213662</v>
      </c>
      <c r="BB255" s="11">
        <v>6.1318608066780058</v>
      </c>
      <c r="BC255" s="11" t="s">
        <v>114</v>
      </c>
      <c r="BD255" s="11">
        <v>49.520389184526366</v>
      </c>
    </row>
    <row r="256" spans="1:56" x14ac:dyDescent="0.3">
      <c r="A256" s="12" t="s">
        <v>339</v>
      </c>
      <c r="B256" s="13" t="s">
        <v>63</v>
      </c>
      <c r="C256" s="10">
        <v>3513.6192598704602</v>
      </c>
      <c r="D256" s="11">
        <v>856.12905288049103</v>
      </c>
      <c r="E256" s="10">
        <v>51.344251898203119</v>
      </c>
      <c r="F256" s="10">
        <v>131577.52036189823</v>
      </c>
      <c r="G256" s="10" t="s">
        <v>114</v>
      </c>
      <c r="H256" s="10">
        <v>322612.7098796434</v>
      </c>
      <c r="I256" s="11">
        <v>327595.27031124989</v>
      </c>
      <c r="J256" s="10">
        <v>8.5985234780836368</v>
      </c>
      <c r="K256" s="11">
        <v>32.254455490278332</v>
      </c>
      <c r="L256" s="11">
        <v>4.5035108211778292</v>
      </c>
      <c r="M256" s="11">
        <v>379.65651473262801</v>
      </c>
      <c r="N256" s="11">
        <v>1554.3445233497218</v>
      </c>
      <c r="O256" s="10">
        <v>1556.4553523594634</v>
      </c>
      <c r="P256" s="10">
        <v>1.6932973414215562</v>
      </c>
      <c r="Q256" s="11">
        <v>5.7959256216355461</v>
      </c>
      <c r="R256" s="11">
        <v>7.8713321102251106</v>
      </c>
      <c r="S256" s="10">
        <v>7.6524017589767288</v>
      </c>
      <c r="T256" s="11">
        <v>148.42573607923921</v>
      </c>
      <c r="U256" s="10">
        <v>144.70482346366362</v>
      </c>
      <c r="V256" s="10">
        <v>9.7645503265140565</v>
      </c>
      <c r="W256" s="10" t="s">
        <v>114</v>
      </c>
      <c r="X256" s="10" t="s">
        <v>114</v>
      </c>
      <c r="Y256" s="11">
        <v>1144.4622022460742</v>
      </c>
      <c r="Z256" s="10">
        <v>5.1635705853904295</v>
      </c>
      <c r="AA256" s="10">
        <v>0.84288326685976622</v>
      </c>
      <c r="AB256" s="10">
        <v>0.93821999880068074</v>
      </c>
      <c r="AC256" s="10" t="s">
        <v>114</v>
      </c>
      <c r="AD256" s="10" t="s">
        <v>114</v>
      </c>
      <c r="AE256" s="10">
        <v>0.60327605714044152</v>
      </c>
      <c r="AF256" s="10">
        <v>4.1527775194303979E-3</v>
      </c>
      <c r="AG256" s="11">
        <v>58.247744182748157</v>
      </c>
      <c r="AH256" s="11" t="s">
        <v>114</v>
      </c>
      <c r="AI256" s="11" t="s">
        <v>114</v>
      </c>
      <c r="AJ256" s="11" t="s">
        <v>114</v>
      </c>
      <c r="AK256" s="11" t="s">
        <v>114</v>
      </c>
      <c r="AL256" s="11" t="s">
        <v>114</v>
      </c>
      <c r="AM256" s="11">
        <v>7.6212746742369509E-3</v>
      </c>
      <c r="AN256" s="11">
        <v>3.0001819126089117E-2</v>
      </c>
      <c r="AO256" s="11" t="s">
        <v>114</v>
      </c>
      <c r="AP256" s="11">
        <v>3.562774226228442E-2</v>
      </c>
      <c r="AQ256" s="11" t="s">
        <v>114</v>
      </c>
      <c r="AR256" s="11">
        <v>4.3623682098547396E-2</v>
      </c>
      <c r="AS256" s="11">
        <v>8.8204974678910333E-3</v>
      </c>
      <c r="AT256" s="11">
        <v>4.3884835357324507E-2</v>
      </c>
      <c r="AU256" s="11">
        <v>8.6681361677033563E-3</v>
      </c>
      <c r="AV256" s="10">
        <v>2.8406099942666398</v>
      </c>
      <c r="AW256" s="10">
        <v>14.404223268897349</v>
      </c>
      <c r="AX256" s="10" t="s">
        <v>114</v>
      </c>
      <c r="AY256" s="10" t="s">
        <v>114</v>
      </c>
      <c r="AZ256" s="10">
        <v>9.5955703096526328</v>
      </c>
      <c r="BA256" s="10">
        <v>8.6203186178550535</v>
      </c>
      <c r="BB256" s="11">
        <v>9.0452717847588335</v>
      </c>
      <c r="BC256" s="11" t="s">
        <v>114</v>
      </c>
      <c r="BD256" s="11">
        <v>26.87327695387804</v>
      </c>
    </row>
    <row r="257" spans="1:56" x14ac:dyDescent="0.3">
      <c r="A257" s="12" t="s">
        <v>340</v>
      </c>
      <c r="B257" s="13" t="s">
        <v>63</v>
      </c>
      <c r="C257" s="10">
        <v>4522.6943888562828</v>
      </c>
      <c r="D257" s="11">
        <v>1089.9562638755044</v>
      </c>
      <c r="E257" s="10">
        <v>124.67129726508057</v>
      </c>
      <c r="F257" s="10">
        <v>150096.76867000357</v>
      </c>
      <c r="G257" s="10" t="s">
        <v>114</v>
      </c>
      <c r="H257" s="10">
        <v>375953.81525462994</v>
      </c>
      <c r="I257" s="11">
        <v>385655.53346405865</v>
      </c>
      <c r="J257" s="10">
        <v>6.6156704116914202</v>
      </c>
      <c r="K257" s="11">
        <v>37.105033966158857</v>
      </c>
      <c r="L257" s="11">
        <v>8.6316927192554314</v>
      </c>
      <c r="M257" s="11">
        <v>528.18219530327599</v>
      </c>
      <c r="N257" s="11">
        <v>4116.6414208840388</v>
      </c>
      <c r="O257" s="10">
        <v>4095.877537171285</v>
      </c>
      <c r="P257" s="10">
        <v>2.8323512452429278</v>
      </c>
      <c r="Q257" s="11">
        <v>11.40310841156602</v>
      </c>
      <c r="R257" s="11">
        <v>14.321610369272816</v>
      </c>
      <c r="S257" s="10">
        <v>14.026639638845431</v>
      </c>
      <c r="T257" s="11">
        <v>129.24653148141041</v>
      </c>
      <c r="U257" s="10">
        <v>127.20374227769396</v>
      </c>
      <c r="V257" s="10">
        <v>27.169561344176547</v>
      </c>
      <c r="W257" s="10" t="s">
        <v>114</v>
      </c>
      <c r="X257" s="10" t="s">
        <v>114</v>
      </c>
      <c r="Y257" s="11">
        <v>1498.8850942667539</v>
      </c>
      <c r="Z257" s="10">
        <v>6.0613581369601217</v>
      </c>
      <c r="AA257" s="10">
        <v>1.0384758763234232</v>
      </c>
      <c r="AB257" s="10">
        <v>0.95391655196656233</v>
      </c>
      <c r="AC257" s="10">
        <v>8.6721090519238306E-2</v>
      </c>
      <c r="AD257" s="10" t="s">
        <v>114</v>
      </c>
      <c r="AE257" s="10">
        <v>0.67740589590259126</v>
      </c>
      <c r="AF257" s="10">
        <v>6.0526181370479113E-3</v>
      </c>
      <c r="AG257" s="11">
        <v>82.400043459784854</v>
      </c>
      <c r="AH257" s="11" t="s">
        <v>114</v>
      </c>
      <c r="AI257" s="11">
        <v>0.695114266714569</v>
      </c>
      <c r="AJ257" s="11">
        <v>6.6574236149974486E-2</v>
      </c>
      <c r="AK257" s="11">
        <v>0.27706276669668634</v>
      </c>
      <c r="AL257" s="11">
        <v>4.6845694850983742E-2</v>
      </c>
      <c r="AM257" s="11">
        <v>1.45441928813199E-2</v>
      </c>
      <c r="AN257" s="11">
        <v>6.20254869361722E-2</v>
      </c>
      <c r="AO257" s="11" t="s">
        <v>114</v>
      </c>
      <c r="AP257" s="11">
        <v>8.7617798849116052E-2</v>
      </c>
      <c r="AQ257" s="11" t="s">
        <v>114</v>
      </c>
      <c r="AR257" s="11">
        <v>6.2437786556794286E-2</v>
      </c>
      <c r="AS257" s="11">
        <v>1.1206285688795047E-2</v>
      </c>
      <c r="AT257" s="11">
        <v>7.9495693592674346E-2</v>
      </c>
      <c r="AU257" s="11">
        <v>1.3107254996397808E-2</v>
      </c>
      <c r="AV257" s="10">
        <v>2.1305634125892738</v>
      </c>
      <c r="AW257" s="10">
        <v>14.341011361814195</v>
      </c>
      <c r="AX257" s="10" t="s">
        <v>114</v>
      </c>
      <c r="AY257" s="10" t="s">
        <v>114</v>
      </c>
      <c r="AZ257" s="10">
        <v>14.307942857735208</v>
      </c>
      <c r="BA257" s="10">
        <v>12.945319802192712</v>
      </c>
      <c r="BB257" s="11">
        <v>13.627656031867952</v>
      </c>
      <c r="BC257" s="11" t="s">
        <v>114</v>
      </c>
      <c r="BD257" s="11">
        <v>30.588950502790649</v>
      </c>
    </row>
    <row r="258" spans="1:56" x14ac:dyDescent="0.3">
      <c r="A258" s="12" t="s">
        <v>341</v>
      </c>
      <c r="B258" s="13" t="s">
        <v>63</v>
      </c>
      <c r="C258" s="10">
        <v>3799.1091748796189</v>
      </c>
      <c r="D258" s="11">
        <v>1116.6734159373132</v>
      </c>
      <c r="E258" s="10">
        <v>89.592114792552479</v>
      </c>
      <c r="F258" s="10">
        <v>132379.7336936091</v>
      </c>
      <c r="G258" s="10" t="s">
        <v>114</v>
      </c>
      <c r="H258" s="10">
        <v>330999.97672894842</v>
      </c>
      <c r="I258" s="11">
        <v>337905.71366817277</v>
      </c>
      <c r="J258" s="10">
        <v>3.5538080503609297</v>
      </c>
      <c r="K258" s="11">
        <v>31.008070386300147</v>
      </c>
      <c r="L258" s="11">
        <v>9.2342630659050133</v>
      </c>
      <c r="M258" s="11">
        <v>399.15991635931306</v>
      </c>
      <c r="N258" s="11">
        <v>5730.2828125700016</v>
      </c>
      <c r="O258" s="10">
        <v>5722.584587884794</v>
      </c>
      <c r="P258" s="10">
        <v>2.1612520735906746</v>
      </c>
      <c r="Q258" s="11">
        <v>12.336125931242671</v>
      </c>
      <c r="R258" s="11">
        <v>12.832288467573202</v>
      </c>
      <c r="S258" s="10">
        <v>12.819767268641563</v>
      </c>
      <c r="T258" s="11">
        <v>99.01437235934533</v>
      </c>
      <c r="U258" s="10">
        <v>97.373884670514315</v>
      </c>
      <c r="V258" s="10">
        <v>52.595649389416394</v>
      </c>
      <c r="W258" s="10" t="s">
        <v>114</v>
      </c>
      <c r="X258" s="10" t="s">
        <v>114</v>
      </c>
      <c r="Y258" s="11">
        <v>1264.9492451752669</v>
      </c>
      <c r="Z258" s="10">
        <v>4.7890549446747075</v>
      </c>
      <c r="AA258" s="10">
        <v>1.123802147389461</v>
      </c>
      <c r="AB258" s="10">
        <v>1.1369891429810866</v>
      </c>
      <c r="AC258" s="10" t="s">
        <v>114</v>
      </c>
      <c r="AD258" s="10" t="s">
        <v>114</v>
      </c>
      <c r="AE258" s="10">
        <v>0.61954864274957766</v>
      </c>
      <c r="AF258" s="10">
        <v>3.9033423374597778E-3</v>
      </c>
      <c r="AG258" s="11">
        <v>62.730251597561328</v>
      </c>
      <c r="AH258" s="11" t="s">
        <v>114</v>
      </c>
      <c r="AI258" s="11" t="s">
        <v>114</v>
      </c>
      <c r="AJ258" s="11" t="s">
        <v>114</v>
      </c>
      <c r="AK258" s="11" t="s">
        <v>114</v>
      </c>
      <c r="AL258" s="11" t="s">
        <v>114</v>
      </c>
      <c r="AM258" s="11" t="s">
        <v>114</v>
      </c>
      <c r="AN258" s="11">
        <v>1.325623723988997E-2</v>
      </c>
      <c r="AO258" s="11" t="s">
        <v>114</v>
      </c>
      <c r="AP258" s="11">
        <v>2.86690041566138E-2</v>
      </c>
      <c r="AQ258" s="11" t="s">
        <v>114</v>
      </c>
      <c r="AR258" s="11">
        <v>2.8149356267171608E-2</v>
      </c>
      <c r="AS258" s="11">
        <v>4.6481192797190726E-3</v>
      </c>
      <c r="AT258" s="11">
        <v>5.2174733940303093E-2</v>
      </c>
      <c r="AU258" s="11">
        <v>7.99191157345072E-3</v>
      </c>
      <c r="AV258" s="10">
        <v>1.6589407708828341</v>
      </c>
      <c r="AW258" s="10">
        <v>13.604883753697049</v>
      </c>
      <c r="AX258" s="10" t="s">
        <v>114</v>
      </c>
      <c r="AY258" s="10" t="s">
        <v>114</v>
      </c>
      <c r="AZ258" s="10">
        <v>11.29387079652316</v>
      </c>
      <c r="BA258" s="10">
        <v>10.313371807178651</v>
      </c>
      <c r="BB258" s="11">
        <v>10.783493857968796</v>
      </c>
      <c r="BC258" s="11" t="s">
        <v>114</v>
      </c>
      <c r="BD258" s="11">
        <v>39.452051619216746</v>
      </c>
    </row>
    <row r="259" spans="1:56" x14ac:dyDescent="0.3">
      <c r="A259" s="12" t="s">
        <v>342</v>
      </c>
      <c r="B259" s="13" t="s">
        <v>63</v>
      </c>
      <c r="C259" s="10">
        <v>4227.3894155462813</v>
      </c>
      <c r="D259" s="11">
        <v>971.76836996860652</v>
      </c>
      <c r="E259" s="10">
        <v>32.981891284213759</v>
      </c>
      <c r="F259" s="10">
        <v>169409.94159344348</v>
      </c>
      <c r="G259" s="10" t="s">
        <v>114</v>
      </c>
      <c r="H259" s="10">
        <v>414104.01074553409</v>
      </c>
      <c r="I259" s="11">
        <v>418952.92362610152</v>
      </c>
      <c r="J259" s="10">
        <v>4.169066222755446</v>
      </c>
      <c r="K259" s="11">
        <v>28.005900436640005</v>
      </c>
      <c r="L259" s="11">
        <v>5.8429406649272</v>
      </c>
      <c r="M259" s="11">
        <v>521.11477057431557</v>
      </c>
      <c r="N259" s="11">
        <v>723.3905923779339</v>
      </c>
      <c r="O259" s="10">
        <v>739.61384777739704</v>
      </c>
      <c r="P259" s="10">
        <v>0.75899997862769863</v>
      </c>
      <c r="Q259" s="11">
        <v>6.1424353385186414</v>
      </c>
      <c r="R259" s="11">
        <v>17.801009647339782</v>
      </c>
      <c r="S259" s="10">
        <v>18.222254625157248</v>
      </c>
      <c r="T259" s="11">
        <v>245.74074380679684</v>
      </c>
      <c r="U259" s="10">
        <v>235.16238953411414</v>
      </c>
      <c r="V259" s="10">
        <v>7.675054139743593</v>
      </c>
      <c r="W259" s="10" t="s">
        <v>114</v>
      </c>
      <c r="X259" s="10" t="s">
        <v>114</v>
      </c>
      <c r="Y259" s="11">
        <v>1350.7738551620478</v>
      </c>
      <c r="Z259" s="10">
        <v>5.5313428994186955</v>
      </c>
      <c r="AA259" s="10">
        <v>0.96665898156579821</v>
      </c>
      <c r="AB259" s="10">
        <v>1.0652932007340885</v>
      </c>
      <c r="AC259" s="10">
        <v>0.36276187449961411</v>
      </c>
      <c r="AD259" s="10" t="s">
        <v>114</v>
      </c>
      <c r="AE259" s="10">
        <v>0.55481014431031928</v>
      </c>
      <c r="AF259" s="10">
        <v>3.7951260624862634E-3</v>
      </c>
      <c r="AG259" s="11">
        <v>63.565593306329099</v>
      </c>
      <c r="AH259" s="11">
        <v>0.93781118134801988</v>
      </c>
      <c r="AI259" s="11">
        <v>1.4098609319899185</v>
      </c>
      <c r="AJ259" s="11">
        <v>0.13042533847113391</v>
      </c>
      <c r="AK259" s="11">
        <v>0.60205578184947195</v>
      </c>
      <c r="AL259" s="11">
        <v>0.12127066157459468</v>
      </c>
      <c r="AM259" s="11">
        <v>3.4929744702087061E-2</v>
      </c>
      <c r="AN259" s="11">
        <v>0.17788660598782974</v>
      </c>
      <c r="AO259" s="11">
        <v>2.7329121299337511E-2</v>
      </c>
      <c r="AP259" s="11">
        <v>0.25504715877867429</v>
      </c>
      <c r="AQ259" s="11">
        <v>5.9001087855749736E-2</v>
      </c>
      <c r="AR259" s="11">
        <v>0.21767486011991025</v>
      </c>
      <c r="AS259" s="11">
        <v>3.2257454580963935E-2</v>
      </c>
      <c r="AT259" s="11">
        <v>0.23549474369831178</v>
      </c>
      <c r="AU259" s="11">
        <v>3.3643197884443476E-2</v>
      </c>
      <c r="AV259" s="10">
        <v>1.601905672137425</v>
      </c>
      <c r="AW259" s="10">
        <v>14.25360271902866</v>
      </c>
      <c r="AX259" s="10" t="s">
        <v>114</v>
      </c>
      <c r="AY259" s="10" t="s">
        <v>114</v>
      </c>
      <c r="AZ259" s="10">
        <v>37.903366081314303</v>
      </c>
      <c r="BA259" s="10">
        <v>33.984323932531971</v>
      </c>
      <c r="BB259" s="11">
        <v>35.805719058394729</v>
      </c>
      <c r="BC259" s="11" t="s">
        <v>114</v>
      </c>
      <c r="BD259" s="11">
        <v>44.500109025884527</v>
      </c>
    </row>
    <row r="260" spans="1:56" x14ac:dyDescent="0.3">
      <c r="A260" s="12" t="s">
        <v>343</v>
      </c>
      <c r="B260" s="13" t="s">
        <v>63</v>
      </c>
      <c r="C260" s="10">
        <v>3765.2792040921263</v>
      </c>
      <c r="D260" s="11">
        <v>939.02677376484883</v>
      </c>
      <c r="E260" s="10">
        <v>105.84907128086543</v>
      </c>
      <c r="F260" s="10">
        <v>131949.03150485392</v>
      </c>
      <c r="G260" s="10" t="s">
        <v>114</v>
      </c>
      <c r="H260" s="10">
        <v>330864.3606534304</v>
      </c>
      <c r="I260" s="11">
        <v>340017.46963058499</v>
      </c>
      <c r="J260" s="10" t="s">
        <v>114</v>
      </c>
      <c r="K260" s="11">
        <v>29.338560184132742</v>
      </c>
      <c r="L260" s="11">
        <v>16.91579797193415</v>
      </c>
      <c r="M260" s="11">
        <v>1093.7498270674762</v>
      </c>
      <c r="N260" s="11">
        <v>2132.9705665998131</v>
      </c>
      <c r="O260" s="10">
        <v>2124.9894885988992</v>
      </c>
      <c r="P260" s="10">
        <v>8.9212435862544055</v>
      </c>
      <c r="Q260" s="11">
        <v>11.844258684515534</v>
      </c>
      <c r="R260" s="11">
        <v>19.628249682437051</v>
      </c>
      <c r="S260" s="10">
        <v>19.707159704734902</v>
      </c>
      <c r="T260" s="11">
        <v>136.98816856030942</v>
      </c>
      <c r="U260" s="10">
        <v>133.85263734204759</v>
      </c>
      <c r="V260" s="10">
        <v>15.998599919886978</v>
      </c>
      <c r="W260" s="10" t="s">
        <v>114</v>
      </c>
      <c r="X260" s="10" t="s">
        <v>114</v>
      </c>
      <c r="Y260" s="11">
        <v>1325.0344150305996</v>
      </c>
      <c r="Z260" s="10">
        <v>7.6839812919901096</v>
      </c>
      <c r="AA260" s="10">
        <v>1.2957610389459295</v>
      </c>
      <c r="AB260" s="10">
        <v>1.3461563189710397</v>
      </c>
      <c r="AC260" s="10">
        <v>6.0228075139988631E-2</v>
      </c>
      <c r="AD260" s="10" t="s">
        <v>114</v>
      </c>
      <c r="AE260" s="10">
        <v>0.82416062436363768</v>
      </c>
      <c r="AF260" s="10">
        <v>5.2386388560731311E-3</v>
      </c>
      <c r="AG260" s="11">
        <v>53.500994789021505</v>
      </c>
      <c r="AH260" s="11" t="s">
        <v>114</v>
      </c>
      <c r="AI260" s="11" t="s">
        <v>114</v>
      </c>
      <c r="AJ260" s="11" t="s">
        <v>114</v>
      </c>
      <c r="AK260" s="11" t="s">
        <v>114</v>
      </c>
      <c r="AL260" s="11" t="s">
        <v>114</v>
      </c>
      <c r="AM260" s="11" t="s">
        <v>114</v>
      </c>
      <c r="AN260" s="11">
        <v>2.1690229952248837E-2</v>
      </c>
      <c r="AO260" s="11" t="s">
        <v>114</v>
      </c>
      <c r="AP260" s="11">
        <v>2.0645603160679003E-2</v>
      </c>
      <c r="AQ260" s="11" t="s">
        <v>114</v>
      </c>
      <c r="AR260" s="11">
        <v>2.5213719302564698E-2</v>
      </c>
      <c r="AS260" s="11">
        <v>5.9913786927527036E-3</v>
      </c>
      <c r="AT260" s="11">
        <v>3.1792914590611628E-2</v>
      </c>
      <c r="AU260" s="11">
        <v>7.4134170289776305E-3</v>
      </c>
      <c r="AV260" s="10">
        <v>1.3678865983061923</v>
      </c>
      <c r="AW260" s="10">
        <v>13.470275328489951</v>
      </c>
      <c r="AX260" s="10" t="s">
        <v>114</v>
      </c>
      <c r="AY260" s="10" t="s">
        <v>114</v>
      </c>
      <c r="AZ260" s="10">
        <v>6.9187102676249257</v>
      </c>
      <c r="BA260" s="10">
        <v>6.1828161901658332</v>
      </c>
      <c r="BB260" s="11">
        <v>6.4991787930195084</v>
      </c>
      <c r="BC260" s="11" t="s">
        <v>114</v>
      </c>
      <c r="BD260" s="11">
        <v>42.809448592660324</v>
      </c>
    </row>
    <row r="261" spans="1:56" x14ac:dyDescent="0.3">
      <c r="A261" s="12" t="s">
        <v>344</v>
      </c>
      <c r="B261" s="13" t="s">
        <v>63</v>
      </c>
      <c r="C261" s="10">
        <v>4377.9053033936461</v>
      </c>
      <c r="D261" s="11">
        <v>1077.1807115313334</v>
      </c>
      <c r="E261" s="10">
        <v>130.44066540118223</v>
      </c>
      <c r="F261" s="10">
        <v>138768.71438721963</v>
      </c>
      <c r="G261" s="10" t="s">
        <v>114</v>
      </c>
      <c r="H261" s="10">
        <v>346599.71195895702</v>
      </c>
      <c r="I261" s="11">
        <v>354258.53261921293</v>
      </c>
      <c r="J261" s="10">
        <v>5.2802093506116456</v>
      </c>
      <c r="K261" s="11">
        <v>42.423349474916577</v>
      </c>
      <c r="L261" s="11">
        <v>5.7383460891734988</v>
      </c>
      <c r="M261" s="11">
        <v>2043.6257266022972</v>
      </c>
      <c r="N261" s="11">
        <v>6475.8504821591814</v>
      </c>
      <c r="O261" s="10">
        <v>6459.7795159370571</v>
      </c>
      <c r="P261" s="10">
        <v>42.834045740239851</v>
      </c>
      <c r="Q261" s="11">
        <v>30.831680247665684</v>
      </c>
      <c r="R261" s="11">
        <v>41.037397364326097</v>
      </c>
      <c r="S261" s="10">
        <v>41.004807578442453</v>
      </c>
      <c r="T261" s="11">
        <v>140.05434085851476</v>
      </c>
      <c r="U261" s="10">
        <v>136.8468811581906</v>
      </c>
      <c r="V261" s="10">
        <v>31.293728330493369</v>
      </c>
      <c r="W261" s="10" t="s">
        <v>114</v>
      </c>
      <c r="X261" s="10" t="s">
        <v>114</v>
      </c>
      <c r="Y261" s="11">
        <v>1399.6616907812263</v>
      </c>
      <c r="Z261" s="10">
        <v>8.1000533113644515</v>
      </c>
      <c r="AA261" s="10">
        <v>1.9535056837835851</v>
      </c>
      <c r="AB261" s="10">
        <v>1.8579040724160794</v>
      </c>
      <c r="AC261" s="10" t="s">
        <v>114</v>
      </c>
      <c r="AD261" s="10" t="s">
        <v>114</v>
      </c>
      <c r="AE261" s="10">
        <v>0.85329152748255044</v>
      </c>
      <c r="AF261" s="10">
        <v>2.785211108090642E-3</v>
      </c>
      <c r="AG261" s="11">
        <v>82.091916160147449</v>
      </c>
      <c r="AH261" s="11" t="s">
        <v>114</v>
      </c>
      <c r="AI261" s="11" t="s">
        <v>114</v>
      </c>
      <c r="AJ261" s="11" t="s">
        <v>114</v>
      </c>
      <c r="AK261" s="11" t="s">
        <v>114</v>
      </c>
      <c r="AL261" s="11" t="s">
        <v>114</v>
      </c>
      <c r="AM261" s="11">
        <v>5.0980519179292293E-3</v>
      </c>
      <c r="AN261" s="11">
        <v>1.5858361536290663E-2</v>
      </c>
      <c r="AO261" s="11" t="s">
        <v>114</v>
      </c>
      <c r="AP261" s="11">
        <v>2.6265534121493135E-2</v>
      </c>
      <c r="AQ261" s="11" t="s">
        <v>114</v>
      </c>
      <c r="AR261" s="11">
        <v>2.6472461303937659E-2</v>
      </c>
      <c r="AS261" s="11">
        <v>4.2550780311400773E-3</v>
      </c>
      <c r="AT261" s="11">
        <v>4.2480132988939753E-2</v>
      </c>
      <c r="AU261" s="11">
        <v>8.0754025167659241E-3</v>
      </c>
      <c r="AV261" s="10">
        <v>4.2723731566536207</v>
      </c>
      <c r="AW261" s="10">
        <v>14.973390910565859</v>
      </c>
      <c r="AX261" s="10" t="s">
        <v>114</v>
      </c>
      <c r="AY261" s="10" t="s">
        <v>114</v>
      </c>
      <c r="AZ261" s="10">
        <v>18.784786829678406</v>
      </c>
      <c r="BA261" s="10">
        <v>17.094526806910885</v>
      </c>
      <c r="BB261" s="11">
        <v>17.910937191808685</v>
      </c>
      <c r="BC261" s="11" t="s">
        <v>114</v>
      </c>
      <c r="BD261" s="11">
        <v>42.83085959425992</v>
      </c>
    </row>
    <row r="262" spans="1:56" x14ac:dyDescent="0.3">
      <c r="A262" s="12" t="s">
        <v>345</v>
      </c>
      <c r="B262" s="13" t="s">
        <v>63</v>
      </c>
      <c r="C262" s="10">
        <v>4893.3945320332359</v>
      </c>
      <c r="D262" s="11">
        <v>1066.7980906102221</v>
      </c>
      <c r="E262" s="10">
        <v>230.79929441463887</v>
      </c>
      <c r="F262" s="10">
        <v>138821.31840853096</v>
      </c>
      <c r="G262" s="10" t="s">
        <v>114</v>
      </c>
      <c r="H262" s="10">
        <v>346750.06134511525</v>
      </c>
      <c r="I262" s="11">
        <v>350328.61731824768</v>
      </c>
      <c r="J262" s="10" t="s">
        <v>114</v>
      </c>
      <c r="K262" s="11">
        <v>40.618761909394919</v>
      </c>
      <c r="L262" s="11">
        <v>6.4602269298081563</v>
      </c>
      <c r="M262" s="11">
        <v>911.96612709693704</v>
      </c>
      <c r="N262" s="11">
        <v>7632.2695561489709</v>
      </c>
      <c r="O262" s="10">
        <v>7598.1438387312865</v>
      </c>
      <c r="P262" s="10">
        <v>5.6871088944902262</v>
      </c>
      <c r="Q262" s="11">
        <v>17.661773083046405</v>
      </c>
      <c r="R262" s="11">
        <v>47.90275443098934</v>
      </c>
      <c r="S262" s="10">
        <v>47.864337786335156</v>
      </c>
      <c r="T262" s="11">
        <v>112.47998948180337</v>
      </c>
      <c r="U262" s="10">
        <v>109.64676267433269</v>
      </c>
      <c r="V262" s="10">
        <v>44.10215234044496</v>
      </c>
      <c r="W262" s="10" t="s">
        <v>114</v>
      </c>
      <c r="X262" s="10" t="s">
        <v>114</v>
      </c>
      <c r="Y262" s="11">
        <v>1389.4281012302847</v>
      </c>
      <c r="Z262" s="10">
        <v>8.3900888808285057</v>
      </c>
      <c r="AA262" s="10">
        <v>1.573690982607888</v>
      </c>
      <c r="AB262" s="10">
        <v>1.61364241244993</v>
      </c>
      <c r="AC262" s="10" t="s">
        <v>114</v>
      </c>
      <c r="AD262" s="10" t="s">
        <v>114</v>
      </c>
      <c r="AE262" s="10">
        <v>1.1650077093394697</v>
      </c>
      <c r="AF262" s="10">
        <v>4.9783796462594824E-3</v>
      </c>
      <c r="AG262" s="11">
        <v>48.464423910344891</v>
      </c>
      <c r="AH262" s="11" t="s">
        <v>114</v>
      </c>
      <c r="AI262" s="11" t="s">
        <v>114</v>
      </c>
      <c r="AJ262" s="11">
        <v>1.8206562064889308E-2</v>
      </c>
      <c r="AK262" s="11" t="s">
        <v>114</v>
      </c>
      <c r="AL262" s="11" t="s">
        <v>114</v>
      </c>
      <c r="AM262" s="11">
        <v>7.8816024424240867E-3</v>
      </c>
      <c r="AN262" s="11">
        <v>2.921404969559158E-2</v>
      </c>
      <c r="AO262" s="11" t="s">
        <v>114</v>
      </c>
      <c r="AP262" s="11">
        <v>2.8967511334518622E-2</v>
      </c>
      <c r="AQ262" s="11" t="s">
        <v>114</v>
      </c>
      <c r="AR262" s="11">
        <v>2.5313121349196548E-2</v>
      </c>
      <c r="AS262" s="11">
        <v>5.5279055461354724E-3</v>
      </c>
      <c r="AT262" s="11">
        <v>2.9627623255932239E-2</v>
      </c>
      <c r="AU262" s="11">
        <v>7.3045598972702602E-3</v>
      </c>
      <c r="AV262" s="10">
        <v>3.3073618037914749</v>
      </c>
      <c r="AW262" s="10">
        <v>15.078100697514081</v>
      </c>
      <c r="AX262" s="10" t="s">
        <v>114</v>
      </c>
      <c r="AY262" s="10" t="s">
        <v>114</v>
      </c>
      <c r="AZ262" s="10">
        <v>24.761036962514844</v>
      </c>
      <c r="BA262" s="10">
        <v>22.202694869709287</v>
      </c>
      <c r="BB262" s="11">
        <v>23.388501948958879</v>
      </c>
      <c r="BC262" s="11" t="s">
        <v>114</v>
      </c>
      <c r="BD262" s="11">
        <v>48.510135122703474</v>
      </c>
    </row>
    <row r="263" spans="1:56" x14ac:dyDescent="0.3">
      <c r="A263" s="12" t="s">
        <v>346</v>
      </c>
      <c r="B263" s="13" t="s">
        <v>63</v>
      </c>
      <c r="C263" s="10">
        <v>4154.6900063162857</v>
      </c>
      <c r="D263" s="11">
        <v>842.37282879180236</v>
      </c>
      <c r="E263" s="10">
        <v>191.45777040551388</v>
      </c>
      <c r="F263" s="10">
        <v>129807.76958730727</v>
      </c>
      <c r="G263" s="10" t="s">
        <v>114</v>
      </c>
      <c r="H263" s="10">
        <v>322168.14743862202</v>
      </c>
      <c r="I263" s="11">
        <v>333595.23765260814</v>
      </c>
      <c r="J263" s="10">
        <v>9.8021367270634716</v>
      </c>
      <c r="K263" s="11">
        <v>15.890710526471779</v>
      </c>
      <c r="L263" s="11">
        <v>2.9758296283858701</v>
      </c>
      <c r="M263" s="11">
        <v>1131.4401113550443</v>
      </c>
      <c r="N263" s="11">
        <v>946.00604826372535</v>
      </c>
      <c r="O263" s="10">
        <v>942.36135400397006</v>
      </c>
      <c r="P263" s="10">
        <v>3.9523144247513673</v>
      </c>
      <c r="Q263" s="11">
        <v>11.242286320015113</v>
      </c>
      <c r="R263" s="11">
        <v>36.347157388802749</v>
      </c>
      <c r="S263" s="10">
        <v>37.149012669926513</v>
      </c>
      <c r="T263" s="11">
        <v>151.74665590672419</v>
      </c>
      <c r="U263" s="10">
        <v>523.79573723553779</v>
      </c>
      <c r="V263" s="10">
        <v>6.3509838653129034</v>
      </c>
      <c r="W263" s="10" t="s">
        <v>114</v>
      </c>
      <c r="X263" s="10" t="s">
        <v>114</v>
      </c>
      <c r="Y263" s="11">
        <v>1762.9997171306566</v>
      </c>
      <c r="Z263" s="10">
        <v>6.923145014307007</v>
      </c>
      <c r="AA263" s="10">
        <v>1.1619050374623605</v>
      </c>
      <c r="AB263" s="10">
        <v>1.1669740956319654</v>
      </c>
      <c r="AC263" s="10" t="s">
        <v>114</v>
      </c>
      <c r="AD263" s="10" t="s">
        <v>114</v>
      </c>
      <c r="AE263" s="10">
        <v>0.67890036690426014</v>
      </c>
      <c r="AF263" s="10">
        <v>9.2848314299386163E-3</v>
      </c>
      <c r="AG263" s="11">
        <v>6803.695204845334</v>
      </c>
      <c r="AH263" s="11">
        <v>1.5727953701067645</v>
      </c>
      <c r="AI263" s="11">
        <v>2.6377446364655852</v>
      </c>
      <c r="AJ263" s="11">
        <v>0.29350160251913759</v>
      </c>
      <c r="AK263" s="11">
        <v>1.3440166516173135</v>
      </c>
      <c r="AL263" s="11">
        <v>0.27546361417274956</v>
      </c>
      <c r="AM263" s="11">
        <v>0.18565807084660793</v>
      </c>
      <c r="AN263" s="11">
        <v>0.33590243785591051</v>
      </c>
      <c r="AO263" s="11">
        <v>4.6554170699167945E-2</v>
      </c>
      <c r="AP263" s="11">
        <v>0.34390404649137341</v>
      </c>
      <c r="AQ263" s="11">
        <v>7.3976173296212935E-2</v>
      </c>
      <c r="AR263" s="11">
        <v>0.2465067720406085</v>
      </c>
      <c r="AS263" s="11">
        <v>3.9387600878430462E-2</v>
      </c>
      <c r="AT263" s="11">
        <v>0.23633015628920573</v>
      </c>
      <c r="AU263" s="11">
        <v>3.5513207387327966E-2</v>
      </c>
      <c r="AV263" s="10">
        <v>2.5977321009169287</v>
      </c>
      <c r="AW263" s="10">
        <v>14.864168906726782</v>
      </c>
      <c r="AX263" s="10" t="s">
        <v>114</v>
      </c>
      <c r="AY263" s="10" t="s">
        <v>114</v>
      </c>
      <c r="AZ263" s="10">
        <v>16.486877613662553</v>
      </c>
      <c r="BA263" s="10">
        <v>14.764313745376153</v>
      </c>
      <c r="BB263" s="11">
        <v>15.610979200599093</v>
      </c>
      <c r="BC263" s="11" t="s">
        <v>114</v>
      </c>
      <c r="BD263" s="11">
        <v>45.737971248997127</v>
      </c>
    </row>
    <row r="264" spans="1:56" x14ac:dyDescent="0.3">
      <c r="A264" s="12" t="s">
        <v>347</v>
      </c>
      <c r="B264" s="13" t="s">
        <v>63</v>
      </c>
      <c r="C264" s="10">
        <v>4814.579383312509</v>
      </c>
      <c r="D264" s="11">
        <v>1243.3769794204354</v>
      </c>
      <c r="E264" s="10">
        <v>283.82212694742913</v>
      </c>
      <c r="F264" s="10">
        <v>131040.82243144521</v>
      </c>
      <c r="G264" s="10" t="s">
        <v>114</v>
      </c>
      <c r="H264" s="10">
        <v>329396.51350654912</v>
      </c>
      <c r="I264" s="11">
        <v>337443.92088638863</v>
      </c>
      <c r="J264" s="10" t="s">
        <v>114</v>
      </c>
      <c r="K264" s="11">
        <v>70.58450537774003</v>
      </c>
      <c r="L264" s="11">
        <v>11.793004495930999</v>
      </c>
      <c r="M264" s="11">
        <v>2203.8884937565354</v>
      </c>
      <c r="N264" s="11">
        <v>16098.582051923226</v>
      </c>
      <c r="O264" s="10">
        <v>16439.945445123667</v>
      </c>
      <c r="P264" s="10">
        <v>48.58134352406973</v>
      </c>
      <c r="Q264" s="11">
        <v>48.487297603898448</v>
      </c>
      <c r="R264" s="11">
        <v>104.87159877745935</v>
      </c>
      <c r="S264" s="10">
        <v>104.56258810886122</v>
      </c>
      <c r="T264" s="11">
        <v>116.57873750198036</v>
      </c>
      <c r="U264" s="10">
        <v>170.13536245089611</v>
      </c>
      <c r="V264" s="10">
        <v>103.46544568437965</v>
      </c>
      <c r="W264" s="10" t="s">
        <v>114</v>
      </c>
      <c r="X264" s="10" t="s">
        <v>114</v>
      </c>
      <c r="Y264" s="11">
        <v>1549.5795908708042</v>
      </c>
      <c r="Z264" s="10">
        <v>9.2920116596728661</v>
      </c>
      <c r="AA264" s="10">
        <v>2.2705175360715177</v>
      </c>
      <c r="AB264" s="10">
        <v>2.3102874050367932</v>
      </c>
      <c r="AC264" s="10" t="s">
        <v>114</v>
      </c>
      <c r="AD264" s="10" t="s">
        <v>114</v>
      </c>
      <c r="AE264" s="10">
        <v>1.8584342420996154</v>
      </c>
      <c r="AF264" s="10">
        <v>4.5131190958206929E-3</v>
      </c>
      <c r="AG264" s="11">
        <v>1053.0714382214799</v>
      </c>
      <c r="AH264" s="11" t="s">
        <v>114</v>
      </c>
      <c r="AI264" s="11">
        <v>0.27197684778538106</v>
      </c>
      <c r="AJ264" s="11">
        <v>3.5135203936357606E-2</v>
      </c>
      <c r="AK264" s="11">
        <v>0.12755955760545098</v>
      </c>
      <c r="AL264" s="11" t="s">
        <v>114</v>
      </c>
      <c r="AM264" s="11">
        <v>2.9996845859552094E-2</v>
      </c>
      <c r="AN264" s="11">
        <v>5.219067252794457E-2</v>
      </c>
      <c r="AO264" s="11" t="s">
        <v>114</v>
      </c>
      <c r="AP264" s="11">
        <v>6.7158554428676423E-2</v>
      </c>
      <c r="AQ264" s="11" t="s">
        <v>114</v>
      </c>
      <c r="AR264" s="11">
        <v>7.0722594845268064E-2</v>
      </c>
      <c r="AS264" s="11">
        <v>1.251147734075413E-2</v>
      </c>
      <c r="AT264" s="11">
        <v>8.305164242194174E-2</v>
      </c>
      <c r="AU264" s="11">
        <v>1.3773083387994616E-2</v>
      </c>
      <c r="AV264" s="10">
        <v>2.2734719460509436</v>
      </c>
      <c r="AW264" s="10">
        <v>14.059860163637362</v>
      </c>
      <c r="AX264" s="10" t="s">
        <v>114</v>
      </c>
      <c r="AY264" s="10" t="s">
        <v>114</v>
      </c>
      <c r="AZ264" s="10">
        <v>14.73542154768203</v>
      </c>
      <c r="BA264" s="10">
        <v>13.183355623777191</v>
      </c>
      <c r="BB264" s="11">
        <v>13.930204284695543</v>
      </c>
      <c r="BC264" s="11" t="s">
        <v>114</v>
      </c>
      <c r="BD264" s="11">
        <v>51.406113162615107</v>
      </c>
    </row>
    <row r="265" spans="1:56" x14ac:dyDescent="0.3">
      <c r="A265" s="12" t="s">
        <v>348</v>
      </c>
      <c r="B265" s="13" t="s">
        <v>63</v>
      </c>
      <c r="C265" s="10">
        <v>6411.3902585660107</v>
      </c>
      <c r="D265" s="11">
        <v>1241.9442724162141</v>
      </c>
      <c r="E265" s="10">
        <v>166.87419559653083</v>
      </c>
      <c r="F265" s="10">
        <v>148384.19135529367</v>
      </c>
      <c r="G265" s="10" t="s">
        <v>114</v>
      </c>
      <c r="H265" s="10">
        <v>377101.12882262899</v>
      </c>
      <c r="I265" s="11">
        <v>387124.46011610178</v>
      </c>
      <c r="J265" s="10">
        <v>13.69492344150361</v>
      </c>
      <c r="K265" s="11">
        <v>20.85275156616154</v>
      </c>
      <c r="L265" s="11">
        <v>22.359793095542614</v>
      </c>
      <c r="M265" s="11">
        <v>1391.0207635457814</v>
      </c>
      <c r="N265" s="11">
        <v>4383.9718468382289</v>
      </c>
      <c r="O265" s="10">
        <v>4372.5560921297556</v>
      </c>
      <c r="P265" s="10">
        <v>14.285367435410771</v>
      </c>
      <c r="Q265" s="11">
        <v>22.462562215677419</v>
      </c>
      <c r="R265" s="11">
        <v>43.58678219152506</v>
      </c>
      <c r="S265" s="10">
        <v>43.005164902790348</v>
      </c>
      <c r="T265" s="11">
        <v>188.34732942301557</v>
      </c>
      <c r="U265" s="10">
        <v>184.14245871772218</v>
      </c>
      <c r="V265" s="10">
        <v>32.310268587852725</v>
      </c>
      <c r="W265" s="10" t="s">
        <v>114</v>
      </c>
      <c r="X265" s="10" t="s">
        <v>114</v>
      </c>
      <c r="Y265" s="11">
        <v>1532.5260592388306</v>
      </c>
      <c r="Z265" s="10">
        <v>7.1281919435898207</v>
      </c>
      <c r="AA265" s="10">
        <v>1.494397653433462</v>
      </c>
      <c r="AB265" s="10">
        <v>1.5209869186863887</v>
      </c>
      <c r="AC265" s="10">
        <v>0.51573510378387832</v>
      </c>
      <c r="AD265" s="10" t="s">
        <v>114</v>
      </c>
      <c r="AE265" s="10">
        <v>1.3154473301128564</v>
      </c>
      <c r="AF265" s="10">
        <v>3.3859702496493401E-3</v>
      </c>
      <c r="AG265" s="11">
        <v>88.460172403904423</v>
      </c>
      <c r="AH265" s="11" t="s">
        <v>114</v>
      </c>
      <c r="AI265" s="11">
        <v>0.58373581880682379</v>
      </c>
      <c r="AJ265" s="11">
        <v>7.1647663092799657E-2</v>
      </c>
      <c r="AK265" s="11">
        <v>0.29054074581851758</v>
      </c>
      <c r="AL265" s="11">
        <v>6.0709041989596493E-2</v>
      </c>
      <c r="AM265" s="11">
        <v>1.9993099977423413E-2</v>
      </c>
      <c r="AN265" s="11">
        <v>9.5761247654998743E-2</v>
      </c>
      <c r="AO265" s="11" t="s">
        <v>114</v>
      </c>
      <c r="AP265" s="11">
        <v>0.1433751128496884</v>
      </c>
      <c r="AQ265" s="11">
        <v>3.2897834930299921E-2</v>
      </c>
      <c r="AR265" s="11">
        <v>0.13132484876488978</v>
      </c>
      <c r="AS265" s="11">
        <v>2.3166705280178463E-2</v>
      </c>
      <c r="AT265" s="11">
        <v>0.15008799668134326</v>
      </c>
      <c r="AU265" s="11">
        <v>2.1505543936847053E-2</v>
      </c>
      <c r="AV265" s="10">
        <v>1.6671902254947921</v>
      </c>
      <c r="AW265" s="10">
        <v>14.473544053208501</v>
      </c>
      <c r="AX265" s="10" t="s">
        <v>114</v>
      </c>
      <c r="AY265" s="10" t="s">
        <v>114</v>
      </c>
      <c r="AZ265" s="10">
        <v>48.33791065130783</v>
      </c>
      <c r="BA265" s="10">
        <v>43.616724770950761</v>
      </c>
      <c r="BB265" s="11">
        <v>45.735878070540771</v>
      </c>
      <c r="BC265" s="11" t="s">
        <v>114</v>
      </c>
      <c r="BD265" s="11">
        <v>55.627752754295486</v>
      </c>
    </row>
    <row r="266" spans="1:56" x14ac:dyDescent="0.3">
      <c r="A266" s="12" t="s">
        <v>349</v>
      </c>
      <c r="B266" s="13" t="s">
        <v>63</v>
      </c>
      <c r="C266" s="10">
        <v>5030.7325273231772</v>
      </c>
      <c r="D266" s="11">
        <v>1145.9238818209003</v>
      </c>
      <c r="E266" s="10">
        <v>244.29566977430358</v>
      </c>
      <c r="F266" s="10">
        <v>130877.01978118952</v>
      </c>
      <c r="G266" s="10" t="s">
        <v>114</v>
      </c>
      <c r="H266" s="10">
        <v>330863.72210033506</v>
      </c>
      <c r="I266" s="11">
        <v>339544.36713160673</v>
      </c>
      <c r="J266" s="10">
        <v>13.252309919310356</v>
      </c>
      <c r="K266" s="11">
        <v>75.209467782746003</v>
      </c>
      <c r="L266" s="11">
        <v>16.656516514413855</v>
      </c>
      <c r="M266" s="11">
        <v>776.09383288808158</v>
      </c>
      <c r="N266" s="11">
        <v>11554.907004129282</v>
      </c>
      <c r="O266" s="10">
        <v>11714.085250609756</v>
      </c>
      <c r="P266" s="10">
        <v>3.481240385420068</v>
      </c>
      <c r="Q266" s="11">
        <v>22.290371970172622</v>
      </c>
      <c r="R266" s="11">
        <v>24.931555553689869</v>
      </c>
      <c r="S266" s="10">
        <v>24.221049431435191</v>
      </c>
      <c r="T266" s="11">
        <v>123.14158709167856</v>
      </c>
      <c r="U266" s="10">
        <v>119.66592122928988</v>
      </c>
      <c r="V266" s="10">
        <v>82.550524366954676</v>
      </c>
      <c r="W266" s="10" t="s">
        <v>114</v>
      </c>
      <c r="X266" s="10" t="s">
        <v>114</v>
      </c>
      <c r="Y266" s="11">
        <v>1440.0005471375362</v>
      </c>
      <c r="Z266" s="10">
        <v>6.4397009365309064</v>
      </c>
      <c r="AA266" s="10">
        <v>1.4760134538057301</v>
      </c>
      <c r="AB266" s="10">
        <v>1.5182565174868079</v>
      </c>
      <c r="AC266" s="10">
        <v>0.13473317882604491</v>
      </c>
      <c r="AD266" s="10" t="s">
        <v>114</v>
      </c>
      <c r="AE266" s="10">
        <v>2.178415674685009</v>
      </c>
      <c r="AF266" s="10">
        <v>5.9941780514458495E-3</v>
      </c>
      <c r="AG266" s="11">
        <v>43.17366959874731</v>
      </c>
      <c r="AH266" s="11" t="s">
        <v>114</v>
      </c>
      <c r="AI266" s="11">
        <v>0.5805243511148741</v>
      </c>
      <c r="AJ266" s="11">
        <v>5.7798879657034008E-2</v>
      </c>
      <c r="AK266" s="11">
        <v>0.25495297634029451</v>
      </c>
      <c r="AL266" s="11">
        <v>4.2805426028325426E-2</v>
      </c>
      <c r="AM266" s="11">
        <v>1.6167883241291432E-2</v>
      </c>
      <c r="AN266" s="11">
        <v>8.2847023692494096E-2</v>
      </c>
      <c r="AO266" s="11" t="s">
        <v>114</v>
      </c>
      <c r="AP266" s="11">
        <v>0.1299282936989245</v>
      </c>
      <c r="AQ266" s="11">
        <v>3.3332233771854382E-2</v>
      </c>
      <c r="AR266" s="11">
        <v>0.12576799073548089</v>
      </c>
      <c r="AS266" s="11">
        <v>2.0714492273760651E-2</v>
      </c>
      <c r="AT266" s="11">
        <v>0.157131169018149</v>
      </c>
      <c r="AU266" s="11">
        <v>2.6629935014555881E-2</v>
      </c>
      <c r="AV266" s="10">
        <v>1.4295648228573421</v>
      </c>
      <c r="AW266" s="10">
        <v>14.57103559373113</v>
      </c>
      <c r="AX266" s="10" t="s">
        <v>114</v>
      </c>
      <c r="AY266" s="10" t="s">
        <v>114</v>
      </c>
      <c r="AZ266" s="10">
        <v>39.808688596557104</v>
      </c>
      <c r="BA266" s="10">
        <v>35.822351896799788</v>
      </c>
      <c r="BB266" s="11">
        <v>37.610701036310566</v>
      </c>
      <c r="BC266" s="11" t="s">
        <v>114</v>
      </c>
      <c r="BD266" s="11">
        <v>59.086572880375897</v>
      </c>
    </row>
    <row r="267" spans="1:56" x14ac:dyDescent="0.3">
      <c r="A267" s="12" t="s">
        <v>350</v>
      </c>
      <c r="B267" s="13" t="s">
        <v>63</v>
      </c>
      <c r="C267" s="10">
        <v>6924.1328781772618</v>
      </c>
      <c r="D267" s="11">
        <v>2309.4022671902394</v>
      </c>
      <c r="E267" s="10">
        <v>182.74405620916144</v>
      </c>
      <c r="F267" s="10">
        <v>158419.97632777962</v>
      </c>
      <c r="G267" s="10" t="s">
        <v>114</v>
      </c>
      <c r="H267" s="10">
        <v>417642.16636355891</v>
      </c>
      <c r="I267" s="11">
        <v>428126.64997080428</v>
      </c>
      <c r="J267" s="10">
        <v>7.5353001789044685</v>
      </c>
      <c r="K267" s="11">
        <v>56.943903559357551</v>
      </c>
      <c r="L267" s="11">
        <v>16.570158562753573</v>
      </c>
      <c r="M267" s="11">
        <v>2414.0594436541251</v>
      </c>
      <c r="N267" s="11">
        <v>13492.125278048166</v>
      </c>
      <c r="O267" s="10">
        <v>13675.262407639528</v>
      </c>
      <c r="P267" s="10">
        <v>38.105720167087725</v>
      </c>
      <c r="Q267" s="11">
        <v>51.247101559354249</v>
      </c>
      <c r="R267" s="11">
        <v>68.853226018931352</v>
      </c>
      <c r="S267" s="10">
        <v>68.87189466466684</v>
      </c>
      <c r="T267" s="11">
        <v>179.85653404713986</v>
      </c>
      <c r="U267" s="10">
        <v>175.81366253075208</v>
      </c>
      <c r="V267" s="10">
        <v>97.342759219234921</v>
      </c>
      <c r="W267" s="10" t="s">
        <v>114</v>
      </c>
      <c r="X267" s="10" t="s">
        <v>114</v>
      </c>
      <c r="Y267" s="11">
        <v>1930.739816805265</v>
      </c>
      <c r="Z267" s="10">
        <v>12.758061993073438</v>
      </c>
      <c r="AA267" s="10">
        <v>3.0259487414422725</v>
      </c>
      <c r="AB267" s="10">
        <v>2.7965283300627806</v>
      </c>
      <c r="AC267" s="10">
        <v>7.9587443478018868E-2</v>
      </c>
      <c r="AD267" s="10" t="s">
        <v>114</v>
      </c>
      <c r="AE267" s="10">
        <v>2.0633798144490294</v>
      </c>
      <c r="AF267" s="10">
        <v>2.195807444963904E-3</v>
      </c>
      <c r="AG267" s="11">
        <v>82.976026879662058</v>
      </c>
      <c r="AH267" s="11" t="s">
        <v>114</v>
      </c>
      <c r="AI267" s="11" t="s">
        <v>114</v>
      </c>
      <c r="AJ267" s="11">
        <v>2.7647256563902763E-2</v>
      </c>
      <c r="AK267" s="11">
        <v>0.11765365824532067</v>
      </c>
      <c r="AL267" s="11" t="s">
        <v>114</v>
      </c>
      <c r="AM267" s="11">
        <v>9.0046478374526864E-3</v>
      </c>
      <c r="AN267" s="11">
        <v>6.4109513629552736E-2</v>
      </c>
      <c r="AO267" s="11" t="s">
        <v>114</v>
      </c>
      <c r="AP267" s="11">
        <v>8.9447700905374725E-2</v>
      </c>
      <c r="AQ267" s="11">
        <v>2.6121491010018347E-2</v>
      </c>
      <c r="AR267" s="11">
        <v>0.11545880008490919</v>
      </c>
      <c r="AS267" s="11">
        <v>2.066746122024099E-2</v>
      </c>
      <c r="AT267" s="11">
        <v>0.16416731687704911</v>
      </c>
      <c r="AU267" s="11">
        <v>2.9863752780078419E-2</v>
      </c>
      <c r="AV267" s="10">
        <v>5.1402071968158225</v>
      </c>
      <c r="AW267" s="10">
        <v>14.494335343090381</v>
      </c>
      <c r="AX267" s="10" t="s">
        <v>114</v>
      </c>
      <c r="AY267" s="10" t="s">
        <v>114</v>
      </c>
      <c r="AZ267" s="10">
        <v>22.730626008836133</v>
      </c>
      <c r="BA267" s="10">
        <v>20.694433445719511</v>
      </c>
      <c r="BB267" s="11">
        <v>21.583723753924673</v>
      </c>
      <c r="BC267" s="11" t="s">
        <v>114</v>
      </c>
      <c r="BD267" s="11">
        <v>57.602167257321199</v>
      </c>
    </row>
    <row r="268" spans="1:56" x14ac:dyDescent="0.3">
      <c r="A268" s="12" t="s">
        <v>351</v>
      </c>
      <c r="B268" s="13" t="s">
        <v>63</v>
      </c>
      <c r="C268" s="10">
        <v>4267.2836762467059</v>
      </c>
      <c r="D268" s="11">
        <v>1040.6187836167135</v>
      </c>
      <c r="E268" s="10">
        <v>213.30902023751204</v>
      </c>
      <c r="F268" s="10">
        <v>135990.09290373026</v>
      </c>
      <c r="G268" s="10" t="s">
        <v>114</v>
      </c>
      <c r="H268" s="10">
        <v>343859.21138064907</v>
      </c>
      <c r="I268" s="11">
        <v>352532.04747190751</v>
      </c>
      <c r="J268" s="10">
        <v>8.6246953476263624</v>
      </c>
      <c r="K268" s="11">
        <v>52.869815611337295</v>
      </c>
      <c r="L268" s="11">
        <v>16.642102237466716</v>
      </c>
      <c r="M268" s="11">
        <v>1534.9866537602093</v>
      </c>
      <c r="N268" s="11">
        <v>7095.0455197576957</v>
      </c>
      <c r="O268" s="10">
        <v>7037.5411332494041</v>
      </c>
      <c r="P268" s="10">
        <v>11.240972546229379</v>
      </c>
      <c r="Q268" s="11">
        <v>30.823845398033605</v>
      </c>
      <c r="R268" s="11">
        <v>34.150114854107358</v>
      </c>
      <c r="S268" s="10">
        <v>34.330264292737539</v>
      </c>
      <c r="T268" s="11">
        <v>112.24222500424628</v>
      </c>
      <c r="U268" s="10">
        <v>108.05214903014942</v>
      </c>
      <c r="V268" s="10">
        <v>50.843373146731139</v>
      </c>
      <c r="W268" s="10" t="s">
        <v>114</v>
      </c>
      <c r="X268" s="10" t="s">
        <v>114</v>
      </c>
      <c r="Y268" s="11">
        <v>1326.5569147630576</v>
      </c>
      <c r="Z268" s="10">
        <v>9.262833094054205</v>
      </c>
      <c r="AA268" s="10">
        <v>3.4200848789584999</v>
      </c>
      <c r="AB268" s="10">
        <v>3.595876346199796</v>
      </c>
      <c r="AC268" s="10">
        <v>7.1965662177311013E-2</v>
      </c>
      <c r="AD268" s="10" t="s">
        <v>114</v>
      </c>
      <c r="AE268" s="10">
        <v>1.3860129041277416</v>
      </c>
      <c r="AF268" s="10">
        <v>5.3830065127606561E-3</v>
      </c>
      <c r="AG268" s="11">
        <v>65.086544463414683</v>
      </c>
      <c r="AH268" s="11" t="s">
        <v>114</v>
      </c>
      <c r="AI268" s="11">
        <v>0.42480281808068582</v>
      </c>
      <c r="AJ268" s="11">
        <v>4.5539677294908536E-2</v>
      </c>
      <c r="AK268" s="11">
        <v>0.17791084273861227</v>
      </c>
      <c r="AL268" s="11" t="s">
        <v>114</v>
      </c>
      <c r="AM268" s="11">
        <v>1.1278043790085016E-2</v>
      </c>
      <c r="AN268" s="11">
        <v>6.3822182332913341E-2</v>
      </c>
      <c r="AO268" s="11" t="s">
        <v>114</v>
      </c>
      <c r="AP268" s="11">
        <v>9.2131183540631503E-2</v>
      </c>
      <c r="AQ268" s="11">
        <v>2.1893770106982624E-2</v>
      </c>
      <c r="AR268" s="11">
        <v>9.4029348989699335E-2</v>
      </c>
      <c r="AS268" s="11">
        <v>1.6989755508372555E-2</v>
      </c>
      <c r="AT268" s="11">
        <v>0.10549276822920496</v>
      </c>
      <c r="AU268" s="11">
        <v>1.930925184834708E-2</v>
      </c>
      <c r="AV268" s="10">
        <v>3.1116759661495923</v>
      </c>
      <c r="AW268" s="10">
        <v>15.209634092662796</v>
      </c>
      <c r="AX268" s="10" t="s">
        <v>114</v>
      </c>
      <c r="AY268" s="10" t="s">
        <v>114</v>
      </c>
      <c r="AZ268" s="10">
        <v>25.542709650243999</v>
      </c>
      <c r="BA268" s="10">
        <v>23.013994341111811</v>
      </c>
      <c r="BB268" s="11">
        <v>24.018875941651888</v>
      </c>
      <c r="BC268" s="11" t="s">
        <v>114</v>
      </c>
      <c r="BD268" s="11">
        <v>45.524305200398594</v>
      </c>
    </row>
    <row r="269" spans="1:56" x14ac:dyDescent="0.3">
      <c r="A269" s="12" t="s">
        <v>352</v>
      </c>
      <c r="B269" s="13" t="s">
        <v>63</v>
      </c>
      <c r="C269" s="10">
        <v>4408.1256083096559</v>
      </c>
      <c r="D269" s="11">
        <v>1146.3978507535796</v>
      </c>
      <c r="E269" s="10">
        <v>31.008094839528376</v>
      </c>
      <c r="F269" s="10">
        <v>161672.40332776733</v>
      </c>
      <c r="G269" s="10" t="s">
        <v>114</v>
      </c>
      <c r="H269" s="10">
        <v>403794.88967971905</v>
      </c>
      <c r="I269" s="11">
        <v>416858.48487224261</v>
      </c>
      <c r="J269" s="10">
        <v>9.2214098869553176</v>
      </c>
      <c r="K269" s="11">
        <v>19.000863882678036</v>
      </c>
      <c r="L269" s="11">
        <v>10.491149232869851</v>
      </c>
      <c r="M269" s="11">
        <v>471.91667052839892</v>
      </c>
      <c r="N269" s="11">
        <v>922.9870804063753</v>
      </c>
      <c r="O269" s="10">
        <v>917.22638968329113</v>
      </c>
      <c r="P269" s="10">
        <v>0.70462489153651942</v>
      </c>
      <c r="Q269" s="11">
        <v>4.9325953715279152</v>
      </c>
      <c r="R269" s="11">
        <v>17.1143550242572</v>
      </c>
      <c r="S269" s="10">
        <v>16.658945709361852</v>
      </c>
      <c r="T269" s="11">
        <v>131.76112526113033</v>
      </c>
      <c r="U269" s="10">
        <v>131.98426333493663</v>
      </c>
      <c r="V269" s="10">
        <v>13.014274528364972</v>
      </c>
      <c r="W269" s="10" t="s">
        <v>114</v>
      </c>
      <c r="X269" s="10" t="s">
        <v>114</v>
      </c>
      <c r="Y269" s="11">
        <v>1422.2520150259959</v>
      </c>
      <c r="Z269" s="10">
        <v>7.7797985262207394</v>
      </c>
      <c r="AA269" s="10">
        <v>1.2838968725148698</v>
      </c>
      <c r="AB269" s="10">
        <v>1.4195542647221056</v>
      </c>
      <c r="AC269" s="10" t="s">
        <v>114</v>
      </c>
      <c r="AD269" s="10" t="s">
        <v>114</v>
      </c>
      <c r="AE269" s="10">
        <v>1.7366406508258481</v>
      </c>
      <c r="AF269" s="10">
        <v>6.0974201083470918E-3</v>
      </c>
      <c r="AG269" s="11">
        <v>66.118578686530469</v>
      </c>
      <c r="AH269" s="11" t="s">
        <v>114</v>
      </c>
      <c r="AI269" s="11">
        <v>0.49863784256377952</v>
      </c>
      <c r="AJ269" s="11">
        <v>3.5838623288045969E-2</v>
      </c>
      <c r="AK269" s="11">
        <v>0.15109002712429498</v>
      </c>
      <c r="AL269" s="11" t="s">
        <v>114</v>
      </c>
      <c r="AM269" s="11">
        <v>8.7260133286962659E-3</v>
      </c>
      <c r="AN269" s="11">
        <v>5.5847072731870076E-2</v>
      </c>
      <c r="AO269" s="11" t="s">
        <v>114</v>
      </c>
      <c r="AP269" s="11">
        <v>7.2256430064997657E-2</v>
      </c>
      <c r="AQ269" s="11" t="s">
        <v>114</v>
      </c>
      <c r="AR269" s="11">
        <v>7.0557307092446508E-2</v>
      </c>
      <c r="AS269" s="11">
        <v>1.1634060729594402E-2</v>
      </c>
      <c r="AT269" s="11">
        <v>8.0547105702475183E-2</v>
      </c>
      <c r="AU269" s="11">
        <v>1.6135380593260518E-2</v>
      </c>
      <c r="AV269" s="10">
        <v>2.4426645130865077</v>
      </c>
      <c r="AW269" s="10">
        <v>14.335820480777331</v>
      </c>
      <c r="AX269" s="10" t="s">
        <v>114</v>
      </c>
      <c r="AY269" s="10" t="s">
        <v>114</v>
      </c>
      <c r="AZ269" s="10">
        <v>27.468606009696241</v>
      </c>
      <c r="BA269" s="10">
        <v>24.946798873791792</v>
      </c>
      <c r="BB269" s="11">
        <v>26.055604605045836</v>
      </c>
      <c r="BC269" s="11" t="s">
        <v>114</v>
      </c>
      <c r="BD269" s="11">
        <v>69.123233528890765</v>
      </c>
    </row>
    <row r="270" spans="1:56" x14ac:dyDescent="0.3">
      <c r="A270" s="12" t="s">
        <v>353</v>
      </c>
      <c r="B270" s="13" t="s">
        <v>63</v>
      </c>
      <c r="C270" s="10">
        <v>4254.6015971892402</v>
      </c>
      <c r="D270" s="11">
        <v>1113.5054418602519</v>
      </c>
      <c r="E270" s="10">
        <v>87.056272016126158</v>
      </c>
      <c r="F270" s="10">
        <v>141366.09055180408</v>
      </c>
      <c r="G270" s="10" t="s">
        <v>114</v>
      </c>
      <c r="H270" s="10">
        <v>354132.02710498642</v>
      </c>
      <c r="I270" s="11">
        <v>365030.98575603322</v>
      </c>
      <c r="J270" s="10">
        <v>4.0112064355504033</v>
      </c>
      <c r="K270" s="11">
        <v>58.284176008168792</v>
      </c>
      <c r="L270" s="11">
        <v>20.155813709965031</v>
      </c>
      <c r="M270" s="11">
        <v>1392.0664827454109</v>
      </c>
      <c r="N270" s="11">
        <v>7209.4485038004786</v>
      </c>
      <c r="O270" s="10">
        <v>7243.3276436145206</v>
      </c>
      <c r="P270" s="10">
        <v>13.067112625432166</v>
      </c>
      <c r="Q270" s="11">
        <v>27.309542903920249</v>
      </c>
      <c r="R270" s="11">
        <v>27.225950753313711</v>
      </c>
      <c r="S270" s="10">
        <v>27.377154594868699</v>
      </c>
      <c r="T270" s="11">
        <v>103.65573010760032</v>
      </c>
      <c r="U270" s="10">
        <v>103.19733312998645</v>
      </c>
      <c r="V270" s="10">
        <v>62.525725812000736</v>
      </c>
      <c r="W270" s="10" t="s">
        <v>114</v>
      </c>
      <c r="X270" s="10" t="s">
        <v>114</v>
      </c>
      <c r="Y270" s="11">
        <v>1347.3290712079777</v>
      </c>
      <c r="Z270" s="10">
        <v>6.7531640431028945</v>
      </c>
      <c r="AA270" s="10">
        <v>2.3207366796465636</v>
      </c>
      <c r="AB270" s="10">
        <v>2.3598185209210234</v>
      </c>
      <c r="AC270" s="10" t="s">
        <v>114</v>
      </c>
      <c r="AD270" s="10" t="s">
        <v>114</v>
      </c>
      <c r="AE270" s="10">
        <v>1.7694045292127101</v>
      </c>
      <c r="AF270" s="10">
        <v>3.5538299827933039E-3</v>
      </c>
      <c r="AG270" s="11">
        <v>71.224485599943051</v>
      </c>
      <c r="AH270" s="11" t="s">
        <v>114</v>
      </c>
      <c r="AI270" s="11" t="s">
        <v>114</v>
      </c>
      <c r="AJ270" s="11" t="s">
        <v>114</v>
      </c>
      <c r="AK270" s="11" t="s">
        <v>114</v>
      </c>
      <c r="AL270" s="11" t="s">
        <v>114</v>
      </c>
      <c r="AM270" s="11" t="s">
        <v>114</v>
      </c>
      <c r="AN270" s="11" t="s">
        <v>114</v>
      </c>
      <c r="AO270" s="11" t="s">
        <v>114</v>
      </c>
      <c r="AP270" s="11">
        <v>2.0276611351934707E-2</v>
      </c>
      <c r="AQ270" s="11" t="s">
        <v>114</v>
      </c>
      <c r="AR270" s="11">
        <v>1.5953093532820872E-2</v>
      </c>
      <c r="AS270" s="11">
        <v>4.4014913605127468E-3</v>
      </c>
      <c r="AT270" s="11">
        <v>2.9368216504283531E-2</v>
      </c>
      <c r="AU270" s="11">
        <v>7.1659393059602065E-3</v>
      </c>
      <c r="AV270" s="10">
        <v>1.7364939381519857</v>
      </c>
      <c r="AW270" s="10">
        <v>13.84677428871151</v>
      </c>
      <c r="AX270" s="10" t="s">
        <v>114</v>
      </c>
      <c r="AY270" s="10" t="s">
        <v>114</v>
      </c>
      <c r="AZ270" s="10">
        <v>40.65293141956861</v>
      </c>
      <c r="BA270" s="10">
        <v>36.755696587526181</v>
      </c>
      <c r="BB270" s="11">
        <v>38.584225591774484</v>
      </c>
      <c r="BC270" s="11" t="s">
        <v>114</v>
      </c>
      <c r="BD270" s="11">
        <v>52.544014991782383</v>
      </c>
    </row>
    <row r="271" spans="1:56" x14ac:dyDescent="0.3">
      <c r="A271" s="12" t="s">
        <v>354</v>
      </c>
      <c r="B271" s="13" t="s">
        <v>63</v>
      </c>
      <c r="C271" s="10">
        <v>5177.3991795490674</v>
      </c>
      <c r="D271" s="11">
        <v>1285.1904333557006</v>
      </c>
      <c r="E271" s="10">
        <v>98.086632984359795</v>
      </c>
      <c r="F271" s="10">
        <v>160537.70502263127</v>
      </c>
      <c r="G271" s="10" t="s">
        <v>114</v>
      </c>
      <c r="H271" s="10">
        <v>408326.35002527823</v>
      </c>
      <c r="I271" s="11">
        <v>422995.38412579685</v>
      </c>
      <c r="J271" s="10">
        <v>7.9138253381255899</v>
      </c>
      <c r="K271" s="11">
        <v>40.568732027472642</v>
      </c>
      <c r="L271" s="11">
        <v>11.543108811264194</v>
      </c>
      <c r="M271" s="11">
        <v>994.55880102395645</v>
      </c>
      <c r="N271" s="11">
        <v>2501.6439473189366</v>
      </c>
      <c r="O271" s="10">
        <v>2510.2987728702306</v>
      </c>
      <c r="P271" s="10">
        <v>3.3690201655581546</v>
      </c>
      <c r="Q271" s="11">
        <v>13.649476377492674</v>
      </c>
      <c r="R271" s="11">
        <v>22.556540847802829</v>
      </c>
      <c r="S271" s="10">
        <v>22.194710777906035</v>
      </c>
      <c r="T271" s="11">
        <v>154.63426370301372</v>
      </c>
      <c r="U271" s="10">
        <v>151.84434417727482</v>
      </c>
      <c r="V271" s="10">
        <v>20.119662492953637</v>
      </c>
      <c r="W271" s="10" t="s">
        <v>114</v>
      </c>
      <c r="X271" s="10" t="s">
        <v>114</v>
      </c>
      <c r="Y271" s="11">
        <v>1862.6699171838736</v>
      </c>
      <c r="Z271" s="10">
        <v>6.6380737453660865</v>
      </c>
      <c r="AA271" s="10">
        <v>1.5878926820021986</v>
      </c>
      <c r="AB271" s="10">
        <v>1.6194472117317533</v>
      </c>
      <c r="AC271" s="10">
        <v>0.1326470943176937</v>
      </c>
      <c r="AD271" s="10" t="s">
        <v>114</v>
      </c>
      <c r="AE271" s="10">
        <v>2.5072331490154762</v>
      </c>
      <c r="AF271" s="10">
        <v>4.4563845685114374E-3</v>
      </c>
      <c r="AG271" s="11">
        <v>58.18172324755264</v>
      </c>
      <c r="AH271" s="11">
        <v>0.72336397475208769</v>
      </c>
      <c r="AI271" s="11">
        <v>1.129102405151716</v>
      </c>
      <c r="AJ271" s="11">
        <v>0.11815923987223467</v>
      </c>
      <c r="AK271" s="11">
        <v>0.53489659494127739</v>
      </c>
      <c r="AL271" s="11">
        <v>0.10676171424256693</v>
      </c>
      <c r="AM271" s="11">
        <v>3.0947517938762738E-2</v>
      </c>
      <c r="AN271" s="11">
        <v>0.14625798200526263</v>
      </c>
      <c r="AO271" s="11">
        <v>2.3074268749320784E-2</v>
      </c>
      <c r="AP271" s="11">
        <v>0.18074557352967638</v>
      </c>
      <c r="AQ271" s="11">
        <v>4.5355714639860184E-2</v>
      </c>
      <c r="AR271" s="11">
        <v>0.1646515370890638</v>
      </c>
      <c r="AS271" s="11">
        <v>2.4139432847641799E-2</v>
      </c>
      <c r="AT271" s="11">
        <v>0.16519258300605871</v>
      </c>
      <c r="AU271" s="11">
        <v>2.6185984638876066E-2</v>
      </c>
      <c r="AV271" s="10">
        <v>1.5492181390089228</v>
      </c>
      <c r="AW271" s="10">
        <v>13.687262955240799</v>
      </c>
      <c r="AX271" s="10" t="s">
        <v>114</v>
      </c>
      <c r="AY271" s="10" t="s">
        <v>114</v>
      </c>
      <c r="AZ271" s="10">
        <v>35.749265693458412</v>
      </c>
      <c r="BA271" s="10">
        <v>32.26501308016654</v>
      </c>
      <c r="BB271" s="11">
        <v>33.777400319645686</v>
      </c>
      <c r="BC271" s="11" t="s">
        <v>114</v>
      </c>
      <c r="BD271" s="11">
        <v>71.257043696227498</v>
      </c>
    </row>
    <row r="272" spans="1:56" x14ac:dyDescent="0.3">
      <c r="A272" s="12" t="s">
        <v>355</v>
      </c>
      <c r="B272" s="13" t="s">
        <v>63</v>
      </c>
      <c r="C272" s="10">
        <v>4814.522037351755</v>
      </c>
      <c r="D272" s="11">
        <v>1239.1886276336795</v>
      </c>
      <c r="E272" s="10">
        <v>55.215718443812811</v>
      </c>
      <c r="F272" s="10">
        <v>143108.30787408038</v>
      </c>
      <c r="G272" s="10" t="s">
        <v>114</v>
      </c>
      <c r="H272" s="10">
        <v>359073.83080211695</v>
      </c>
      <c r="I272" s="11">
        <v>373081.52523096401</v>
      </c>
      <c r="J272" s="10">
        <v>5.7439937722942895</v>
      </c>
      <c r="K272" s="11">
        <v>26.091018841194611</v>
      </c>
      <c r="L272" s="11">
        <v>8.6122867746201948</v>
      </c>
      <c r="M272" s="11">
        <v>1311.7920283620899</v>
      </c>
      <c r="N272" s="11">
        <v>1195.8138990871967</v>
      </c>
      <c r="O272" s="10">
        <v>1195.8720344976075</v>
      </c>
      <c r="P272" s="10">
        <v>4.6663244715515759</v>
      </c>
      <c r="Q272" s="11">
        <v>16.127368260238168</v>
      </c>
      <c r="R272" s="11">
        <v>18.121624865621591</v>
      </c>
      <c r="S272" s="10">
        <v>18.189732089935589</v>
      </c>
      <c r="T272" s="11">
        <v>123.76811608364714</v>
      </c>
      <c r="U272" s="10">
        <v>123.74162446487846</v>
      </c>
      <c r="V272" s="10">
        <v>27.166214381310002</v>
      </c>
      <c r="W272" s="10" t="s">
        <v>114</v>
      </c>
      <c r="X272" s="10" t="s">
        <v>114</v>
      </c>
      <c r="Y272" s="11">
        <v>1679.1577012471944</v>
      </c>
      <c r="Z272" s="10">
        <v>4.4972270236865999</v>
      </c>
      <c r="AA272" s="10">
        <v>1.5704058863780965</v>
      </c>
      <c r="AB272" s="10">
        <v>1.4711867088034105</v>
      </c>
      <c r="AC272" s="10" t="s">
        <v>114</v>
      </c>
      <c r="AD272" s="10" t="s">
        <v>114</v>
      </c>
      <c r="AE272" s="10">
        <v>1.2096455726715303</v>
      </c>
      <c r="AF272" s="10">
        <v>2.6133470951258493E-3</v>
      </c>
      <c r="AG272" s="11">
        <v>56.529802841425841</v>
      </c>
      <c r="AH272" s="11" t="s">
        <v>114</v>
      </c>
      <c r="AI272" s="11" t="s">
        <v>114</v>
      </c>
      <c r="AJ272" s="11" t="s">
        <v>114</v>
      </c>
      <c r="AK272" s="11" t="s">
        <v>114</v>
      </c>
      <c r="AL272" s="11" t="s">
        <v>114</v>
      </c>
      <c r="AM272" s="11" t="s">
        <v>114</v>
      </c>
      <c r="AN272" s="11" t="s">
        <v>114</v>
      </c>
      <c r="AO272" s="11" t="s">
        <v>114</v>
      </c>
      <c r="AP272" s="11">
        <v>1.5281995754603187E-2</v>
      </c>
      <c r="AQ272" s="11" t="s">
        <v>114</v>
      </c>
      <c r="AR272" s="11">
        <v>1.6464827490576598E-2</v>
      </c>
      <c r="AS272" s="11" t="s">
        <v>114</v>
      </c>
      <c r="AT272" s="11" t="s">
        <v>114</v>
      </c>
      <c r="AU272" s="11">
        <v>3.1328259593466174E-3</v>
      </c>
      <c r="AV272" s="10">
        <v>0.89037594058665137</v>
      </c>
      <c r="AW272" s="10">
        <v>14.051985832542961</v>
      </c>
      <c r="AX272" s="10" t="s">
        <v>114</v>
      </c>
      <c r="AY272" s="10" t="s">
        <v>114</v>
      </c>
      <c r="AZ272" s="10">
        <v>19.155395157026874</v>
      </c>
      <c r="BA272" s="10">
        <v>17.298518153932637</v>
      </c>
      <c r="BB272" s="11">
        <v>18.173051623323396</v>
      </c>
      <c r="BC272" s="11" t="s">
        <v>114</v>
      </c>
      <c r="BD272" s="11">
        <v>59.971156053949144</v>
      </c>
    </row>
    <row r="273" spans="1:56" x14ac:dyDescent="0.3">
      <c r="A273" s="12" t="s">
        <v>356</v>
      </c>
      <c r="B273" s="13" t="s">
        <v>63</v>
      </c>
      <c r="C273" s="10">
        <v>4606.7535137121895</v>
      </c>
      <c r="D273" s="11">
        <v>1352.7570381931478</v>
      </c>
      <c r="E273" s="10">
        <v>148.20638107378227</v>
      </c>
      <c r="F273" s="10">
        <v>143519.54737911152</v>
      </c>
      <c r="G273" s="10" t="s">
        <v>114</v>
      </c>
      <c r="H273" s="10">
        <v>357413.58750399889</v>
      </c>
      <c r="I273" s="11">
        <v>372512.72751842288</v>
      </c>
      <c r="J273" s="10">
        <v>6.3611643932639304</v>
      </c>
      <c r="K273" s="11">
        <v>54.57087007239641</v>
      </c>
      <c r="L273" s="11">
        <v>11.837226468549417</v>
      </c>
      <c r="M273" s="11">
        <v>3494.6783445841288</v>
      </c>
      <c r="N273" s="11">
        <v>7227.595285371659</v>
      </c>
      <c r="O273" s="10">
        <v>7195.3292082351345</v>
      </c>
      <c r="P273" s="10">
        <v>57.350485302759395</v>
      </c>
      <c r="Q273" s="11">
        <v>78.107872821911954</v>
      </c>
      <c r="R273" s="11">
        <v>34.16021700149193</v>
      </c>
      <c r="S273" s="10">
        <v>33.746079978734471</v>
      </c>
      <c r="T273" s="11">
        <v>103.28509424051727</v>
      </c>
      <c r="U273" s="10">
        <v>105.54713959886482</v>
      </c>
      <c r="V273" s="10">
        <v>92.443051787797089</v>
      </c>
      <c r="W273" s="10" t="s">
        <v>114</v>
      </c>
      <c r="X273" s="10" t="s">
        <v>114</v>
      </c>
      <c r="Y273" s="11">
        <v>1700.5995432894517</v>
      </c>
      <c r="Z273" s="10">
        <v>8.4940164608732101</v>
      </c>
      <c r="AA273" s="10">
        <v>3.1928173045799384</v>
      </c>
      <c r="AB273" s="10">
        <v>3.001431568743663</v>
      </c>
      <c r="AC273" s="10" t="s">
        <v>114</v>
      </c>
      <c r="AD273" s="10" t="s">
        <v>114</v>
      </c>
      <c r="AE273" s="10">
        <v>1.7044423589002391</v>
      </c>
      <c r="AF273" s="10">
        <v>5.2904087837757395E-3</v>
      </c>
      <c r="AG273" s="11">
        <v>127.03868751692592</v>
      </c>
      <c r="AH273" s="11" t="s">
        <v>114</v>
      </c>
      <c r="AI273" s="11" t="s">
        <v>114</v>
      </c>
      <c r="AJ273" s="11" t="s">
        <v>114</v>
      </c>
      <c r="AK273" s="11" t="s">
        <v>114</v>
      </c>
      <c r="AL273" s="11" t="s">
        <v>114</v>
      </c>
      <c r="AM273" s="11" t="s">
        <v>114</v>
      </c>
      <c r="AN273" s="11">
        <v>1.6037056272437549E-2</v>
      </c>
      <c r="AO273" s="11" t="s">
        <v>114</v>
      </c>
      <c r="AP273" s="11">
        <v>1.1155775094141706E-2</v>
      </c>
      <c r="AQ273" s="11" t="s">
        <v>114</v>
      </c>
      <c r="AR273" s="11" t="s">
        <v>114</v>
      </c>
      <c r="AS273" s="11" t="s">
        <v>114</v>
      </c>
      <c r="AT273" s="11" t="s">
        <v>114</v>
      </c>
      <c r="AU273" s="11" t="s">
        <v>114</v>
      </c>
      <c r="AV273" s="10">
        <v>4.3980232261848249</v>
      </c>
      <c r="AW273" s="10">
        <v>16.10811457669022</v>
      </c>
      <c r="AX273" s="10" t="s">
        <v>114</v>
      </c>
      <c r="AY273" s="10" t="s">
        <v>114</v>
      </c>
      <c r="AZ273" s="10">
        <v>21.023325123972878</v>
      </c>
      <c r="BA273" s="10">
        <v>19.052249118008625</v>
      </c>
      <c r="BB273" s="11">
        <v>19.929510228466913</v>
      </c>
      <c r="BC273" s="11" t="s">
        <v>114</v>
      </c>
      <c r="BD273" s="11">
        <v>52.566156462831593</v>
      </c>
    </row>
    <row r="274" spans="1:56" x14ac:dyDescent="0.3">
      <c r="A274" s="12" t="s">
        <v>357</v>
      </c>
      <c r="B274" s="13" t="s">
        <v>63</v>
      </c>
      <c r="C274" s="10">
        <v>4426.3921339118551</v>
      </c>
      <c r="D274" s="11">
        <v>1375.0813421539658</v>
      </c>
      <c r="E274" s="10">
        <v>350.08651983836552</v>
      </c>
      <c r="F274" s="10">
        <v>135636.23929606038</v>
      </c>
      <c r="G274" s="10" t="s">
        <v>114</v>
      </c>
      <c r="H274" s="10">
        <v>346491.35044469388</v>
      </c>
      <c r="I274" s="11">
        <v>356385.6145369797</v>
      </c>
      <c r="J274" s="10">
        <v>24.412100389883779</v>
      </c>
      <c r="K274" s="11">
        <v>92.43207922142598</v>
      </c>
      <c r="L274" s="11">
        <v>16.306838742797765</v>
      </c>
      <c r="M274" s="11">
        <v>246.92574187660227</v>
      </c>
      <c r="N274" s="11">
        <v>13231.846996584451</v>
      </c>
      <c r="O274" s="10">
        <v>13316.926469452868</v>
      </c>
      <c r="P274" s="10">
        <v>5.0355292078055198</v>
      </c>
      <c r="Q274" s="11">
        <v>21.967768878453665</v>
      </c>
      <c r="R274" s="11">
        <v>25.538114594766917</v>
      </c>
      <c r="S274" s="10">
        <v>25.325880751080934</v>
      </c>
      <c r="T274" s="11">
        <v>222.89728031358604</v>
      </c>
      <c r="U274" s="10">
        <v>217.02753757449631</v>
      </c>
      <c r="V274" s="10">
        <v>83.199538552263547</v>
      </c>
      <c r="W274" s="10" t="s">
        <v>114</v>
      </c>
      <c r="X274" s="10" t="s">
        <v>114</v>
      </c>
      <c r="Y274" s="11">
        <v>1340.8993182511904</v>
      </c>
      <c r="Z274" s="10">
        <v>9.607897490857658</v>
      </c>
      <c r="AA274" s="10">
        <v>2.7689218088179648</v>
      </c>
      <c r="AB274" s="10">
        <v>2.617971088404595</v>
      </c>
      <c r="AC274" s="10">
        <v>3.6743767021776623</v>
      </c>
      <c r="AD274" s="10" t="s">
        <v>114</v>
      </c>
      <c r="AE274" s="10">
        <v>2.2250554344987621</v>
      </c>
      <c r="AF274" s="10">
        <v>5.3951254969680593E-3</v>
      </c>
      <c r="AG274" s="11">
        <v>50.8946466724245</v>
      </c>
      <c r="AH274" s="11" t="s">
        <v>114</v>
      </c>
      <c r="AI274" s="11">
        <v>0.72522112263329674</v>
      </c>
      <c r="AJ274" s="11">
        <v>6.0667323603858417E-2</v>
      </c>
      <c r="AK274" s="11">
        <v>0.24684865800435341</v>
      </c>
      <c r="AL274" s="11">
        <v>6.1556307427142361E-2</v>
      </c>
      <c r="AM274" s="11">
        <v>1.9055881552963592E-2</v>
      </c>
      <c r="AN274" s="11">
        <v>8.0349541720522069E-2</v>
      </c>
      <c r="AO274" s="11" t="s">
        <v>114</v>
      </c>
      <c r="AP274" s="11">
        <v>8.9198289903612102E-2</v>
      </c>
      <c r="AQ274" s="11" t="s">
        <v>114</v>
      </c>
      <c r="AR274" s="11">
        <v>8.9924038375229373E-2</v>
      </c>
      <c r="AS274" s="11">
        <v>1.4357277894772381E-2</v>
      </c>
      <c r="AT274" s="11">
        <v>0.11600382867517191</v>
      </c>
      <c r="AU274" s="11">
        <v>2.0548174880788053E-2</v>
      </c>
      <c r="AV274" s="10">
        <v>3.5887845713473361</v>
      </c>
      <c r="AW274" s="10">
        <v>14.349680584670935</v>
      </c>
      <c r="AX274" s="10" t="s">
        <v>114</v>
      </c>
      <c r="AY274" s="10" t="s">
        <v>114</v>
      </c>
      <c r="AZ274" s="10">
        <v>8.2008531172761696</v>
      </c>
      <c r="BA274" s="10">
        <v>7.4266637605411567</v>
      </c>
      <c r="BB274" s="11">
        <v>7.814770107767627</v>
      </c>
      <c r="BC274" s="11" t="s">
        <v>114</v>
      </c>
      <c r="BD274" s="11">
        <v>53.736886290719049</v>
      </c>
    </row>
    <row r="275" spans="1:56" x14ac:dyDescent="0.3">
      <c r="A275" s="12" t="s">
        <v>358</v>
      </c>
      <c r="B275" s="13" t="s">
        <v>63</v>
      </c>
      <c r="C275" s="10">
        <v>3693.7726384336488</v>
      </c>
      <c r="D275" s="11">
        <v>1135.4164393883295</v>
      </c>
      <c r="E275" s="10">
        <v>199.08696659695062</v>
      </c>
      <c r="F275" s="10">
        <v>133141.4451335131</v>
      </c>
      <c r="G275" s="10" t="s">
        <v>114</v>
      </c>
      <c r="H275" s="10">
        <v>340065.41202484397</v>
      </c>
      <c r="I275" s="11">
        <v>348775.8028914617</v>
      </c>
      <c r="J275" s="10">
        <v>5.4384825624041202</v>
      </c>
      <c r="K275" s="11">
        <v>72.356330737874174</v>
      </c>
      <c r="L275" s="11">
        <v>26.070940167578833</v>
      </c>
      <c r="M275" s="11">
        <v>1143.4573138015571</v>
      </c>
      <c r="N275" s="11">
        <v>7046.38557883046</v>
      </c>
      <c r="O275" s="10">
        <v>7058.8119515635408</v>
      </c>
      <c r="P275" s="10">
        <v>8.2544034248861777</v>
      </c>
      <c r="Q275" s="11">
        <v>28.356197435460238</v>
      </c>
      <c r="R275" s="11">
        <v>29.281409763917722</v>
      </c>
      <c r="S275" s="10">
        <v>29.403470608997761</v>
      </c>
      <c r="T275" s="11">
        <v>98.072736443071292</v>
      </c>
      <c r="U275" s="10">
        <v>97.251961816838161</v>
      </c>
      <c r="V275" s="10">
        <v>44.786140488761824</v>
      </c>
      <c r="W275" s="10" t="s">
        <v>114</v>
      </c>
      <c r="X275" s="10" t="s">
        <v>114</v>
      </c>
      <c r="Y275" s="11">
        <v>1395.3506355603643</v>
      </c>
      <c r="Z275" s="10">
        <v>7.5683707427165015</v>
      </c>
      <c r="AA275" s="10">
        <v>6.5214271988025958</v>
      </c>
      <c r="AB275" s="10">
        <v>6.7926349245604394</v>
      </c>
      <c r="AC275" s="10" t="s">
        <v>114</v>
      </c>
      <c r="AD275" s="10" t="s">
        <v>114</v>
      </c>
      <c r="AE275" s="10">
        <v>1.6119524228682569</v>
      </c>
      <c r="AF275" s="10">
        <v>7.1872666418899755E-3</v>
      </c>
      <c r="AG275" s="11">
        <v>82.383907472158768</v>
      </c>
      <c r="AH275" s="11" t="s">
        <v>114</v>
      </c>
      <c r="AI275" s="11">
        <v>0.28678540283850579</v>
      </c>
      <c r="AJ275" s="11">
        <v>3.4658927278522315E-2</v>
      </c>
      <c r="AK275" s="11">
        <v>0.1302018936973231</v>
      </c>
      <c r="AL275" s="11">
        <v>3.9330206978161357E-2</v>
      </c>
      <c r="AM275" s="11">
        <v>8.9517944367534276E-3</v>
      </c>
      <c r="AN275" s="11">
        <v>3.8986722966310887E-2</v>
      </c>
      <c r="AO275" s="11" t="s">
        <v>114</v>
      </c>
      <c r="AP275" s="11">
        <v>3.8429785641939801E-2</v>
      </c>
      <c r="AQ275" s="11" t="s">
        <v>114</v>
      </c>
      <c r="AR275" s="11">
        <v>3.4136973614999455E-2</v>
      </c>
      <c r="AS275" s="11">
        <v>5.8844474971301948E-3</v>
      </c>
      <c r="AT275" s="11">
        <v>3.2346504999545458E-2</v>
      </c>
      <c r="AU275" s="11">
        <v>6.4288517181355842E-3</v>
      </c>
      <c r="AV275" s="10">
        <v>2.4408668483517046</v>
      </c>
      <c r="AW275" s="10">
        <v>13.119348737438239</v>
      </c>
      <c r="AX275" s="10" t="s">
        <v>114</v>
      </c>
      <c r="AY275" s="10" t="s">
        <v>114</v>
      </c>
      <c r="AZ275" s="10">
        <v>10.449449368472408</v>
      </c>
      <c r="BA275" s="10">
        <v>9.5116199428254546</v>
      </c>
      <c r="BB275" s="11">
        <v>9.9088196407636993</v>
      </c>
      <c r="BC275" s="11" t="s">
        <v>114</v>
      </c>
      <c r="BD275" s="11">
        <v>40.038724539347193</v>
      </c>
    </row>
    <row r="276" spans="1:56" x14ac:dyDescent="0.3">
      <c r="A276" s="12" t="s">
        <v>359</v>
      </c>
      <c r="B276" s="13" t="s">
        <v>63</v>
      </c>
      <c r="C276" s="10">
        <v>4288.0050703564439</v>
      </c>
      <c r="D276" s="11">
        <v>875.92681767286649</v>
      </c>
      <c r="E276" s="10">
        <v>31.966765523148808</v>
      </c>
      <c r="F276" s="10">
        <v>134780.24111844963</v>
      </c>
      <c r="G276" s="10" t="s">
        <v>114</v>
      </c>
      <c r="H276" s="10">
        <v>339790.4290815859</v>
      </c>
      <c r="I276" s="11">
        <v>349932.63005033927</v>
      </c>
      <c r="J276" s="10">
        <v>8.1021784994367767</v>
      </c>
      <c r="K276" s="11">
        <v>46.002872192300245</v>
      </c>
      <c r="L276" s="11">
        <v>5.0596141075665289</v>
      </c>
      <c r="M276" s="11">
        <v>930.66548806214075</v>
      </c>
      <c r="N276" s="11">
        <v>1439.8789239832672</v>
      </c>
      <c r="O276" s="10">
        <v>1432.4084214181735</v>
      </c>
      <c r="P276" s="10">
        <v>0.89042278299243782</v>
      </c>
      <c r="Q276" s="11">
        <v>12.804665134957613</v>
      </c>
      <c r="R276" s="11">
        <v>24.436355312095664</v>
      </c>
      <c r="S276" s="10">
        <v>25.325357783381428</v>
      </c>
      <c r="T276" s="11">
        <v>128.90552712475019</v>
      </c>
      <c r="U276" s="10">
        <v>126.23038658703325</v>
      </c>
      <c r="V276" s="10">
        <v>8.6529055215727162</v>
      </c>
      <c r="W276" s="10" t="s">
        <v>114</v>
      </c>
      <c r="X276" s="10">
        <v>0.19208154411159981</v>
      </c>
      <c r="Y276" s="11">
        <v>1274.0180080180555</v>
      </c>
      <c r="Z276" s="10">
        <v>6.8748212566621056</v>
      </c>
      <c r="AA276" s="10">
        <v>3.7120403934989241</v>
      </c>
      <c r="AB276" s="10">
        <v>3.9398247482766231</v>
      </c>
      <c r="AC276" s="10" t="s">
        <v>114</v>
      </c>
      <c r="AD276" s="10" t="s">
        <v>114</v>
      </c>
      <c r="AE276" s="10">
        <v>1.2467045363527665</v>
      </c>
      <c r="AF276" s="10">
        <v>3.8764776997415613E-3</v>
      </c>
      <c r="AG276" s="11">
        <v>67.154348193871314</v>
      </c>
      <c r="AH276" s="11" t="s">
        <v>114</v>
      </c>
      <c r="AI276" s="11">
        <v>0.22275337700192116</v>
      </c>
      <c r="AJ276" s="11">
        <v>1.9034267878064094E-2</v>
      </c>
      <c r="AK276" s="11" t="s">
        <v>114</v>
      </c>
      <c r="AL276" s="11" t="s">
        <v>114</v>
      </c>
      <c r="AM276" s="11">
        <v>7.8645515342024869E-3</v>
      </c>
      <c r="AN276" s="11">
        <v>3.929669561006089E-2</v>
      </c>
      <c r="AO276" s="11" t="s">
        <v>114</v>
      </c>
      <c r="AP276" s="11">
        <v>7.1678001149112477E-2</v>
      </c>
      <c r="AQ276" s="11" t="s">
        <v>114</v>
      </c>
      <c r="AR276" s="11">
        <v>7.996048133865942E-2</v>
      </c>
      <c r="AS276" s="11">
        <v>1.3854211413765456E-2</v>
      </c>
      <c r="AT276" s="11">
        <v>0.10199075733612187</v>
      </c>
      <c r="AU276" s="11">
        <v>1.9006234815983784E-2</v>
      </c>
      <c r="AV276" s="10">
        <v>2.0019935846544663</v>
      </c>
      <c r="AW276" s="10">
        <v>13.874310083294841</v>
      </c>
      <c r="AX276" s="10" t="s">
        <v>114</v>
      </c>
      <c r="AY276" s="10" t="s">
        <v>114</v>
      </c>
      <c r="AZ276" s="10">
        <v>19.510660741298118</v>
      </c>
      <c r="BA276" s="10">
        <v>17.604914044957386</v>
      </c>
      <c r="BB276" s="11">
        <v>18.421329730265906</v>
      </c>
      <c r="BC276" s="11" t="s">
        <v>114</v>
      </c>
      <c r="BD276" s="11">
        <v>39.943640825890206</v>
      </c>
    </row>
    <row r="277" spans="1:56" x14ac:dyDescent="0.3">
      <c r="A277" s="12" t="s">
        <v>360</v>
      </c>
      <c r="B277" s="13" t="s">
        <v>63</v>
      </c>
      <c r="C277" s="10">
        <v>5524.3851387078539</v>
      </c>
      <c r="D277" s="11">
        <v>888.76514866990317</v>
      </c>
      <c r="E277" s="10">
        <v>43.679328966993133</v>
      </c>
      <c r="F277" s="10">
        <v>147073.21545127104</v>
      </c>
      <c r="G277" s="10" t="s">
        <v>114</v>
      </c>
      <c r="H277" s="10">
        <v>372867.833029981</v>
      </c>
      <c r="I277" s="11">
        <v>381795.77581434691</v>
      </c>
      <c r="J277" s="10">
        <v>8.1499044952172444</v>
      </c>
      <c r="K277" s="11">
        <v>24.384990291989979</v>
      </c>
      <c r="L277" s="11">
        <v>4.6823520800593528</v>
      </c>
      <c r="M277" s="11">
        <v>1042.9092181410899</v>
      </c>
      <c r="N277" s="11">
        <v>1270.294822823726</v>
      </c>
      <c r="O277" s="10">
        <v>1278.7689255264399</v>
      </c>
      <c r="P277" s="10">
        <v>3.7620145070500191</v>
      </c>
      <c r="Q277" s="11">
        <v>15.66054911670691</v>
      </c>
      <c r="R277" s="11">
        <v>32.046409415996436</v>
      </c>
      <c r="S277" s="10">
        <v>32.324021684190029</v>
      </c>
      <c r="T277" s="11">
        <v>192.2257505625588</v>
      </c>
      <c r="U277" s="10">
        <v>189.33431066088386</v>
      </c>
      <c r="V277" s="10">
        <v>18.901549714247</v>
      </c>
      <c r="W277" s="10" t="s">
        <v>114</v>
      </c>
      <c r="X277" s="10" t="s">
        <v>114</v>
      </c>
      <c r="Y277" s="11">
        <v>1394.564394151799</v>
      </c>
      <c r="Z277" s="10">
        <v>5.4764087789258378</v>
      </c>
      <c r="AA277" s="10">
        <v>1.8785386061520728</v>
      </c>
      <c r="AB277" s="10">
        <v>1.8287968753352155</v>
      </c>
      <c r="AC277" s="10">
        <v>1.8766936579157845</v>
      </c>
      <c r="AD277" s="10" t="s">
        <v>114</v>
      </c>
      <c r="AE277" s="10">
        <v>1.5835520431268468</v>
      </c>
      <c r="AF277" s="10">
        <v>4.0966964252487515E-3</v>
      </c>
      <c r="AG277" s="11">
        <v>73.757338476170531</v>
      </c>
      <c r="AH277" s="11" t="s">
        <v>114</v>
      </c>
      <c r="AI277" s="11" t="s">
        <v>114</v>
      </c>
      <c r="AJ277" s="11" t="s">
        <v>114</v>
      </c>
      <c r="AK277" s="11" t="s">
        <v>114</v>
      </c>
      <c r="AL277" s="11" t="s">
        <v>114</v>
      </c>
      <c r="AM277" s="11">
        <v>8.8210006599734603E-3</v>
      </c>
      <c r="AN277" s="11">
        <v>4.678062483154994E-2</v>
      </c>
      <c r="AO277" s="11" t="s">
        <v>114</v>
      </c>
      <c r="AP277" s="11">
        <v>6.5909733686816727E-2</v>
      </c>
      <c r="AQ277" s="11" t="s">
        <v>114</v>
      </c>
      <c r="AR277" s="11">
        <v>8.575469913230474E-2</v>
      </c>
      <c r="AS277" s="11">
        <v>1.4906510741491541E-2</v>
      </c>
      <c r="AT277" s="11">
        <v>0.10578744568783771</v>
      </c>
      <c r="AU277" s="11">
        <v>2.2292532581846193E-2</v>
      </c>
      <c r="AV277" s="10">
        <v>1.4279627034500615</v>
      </c>
      <c r="AW277" s="10">
        <v>14.658509122920494</v>
      </c>
      <c r="AX277" s="10" t="s">
        <v>114</v>
      </c>
      <c r="AY277" s="10" t="s">
        <v>114</v>
      </c>
      <c r="AZ277" s="10">
        <v>16.898842551990388</v>
      </c>
      <c r="BA277" s="10">
        <v>15.318116587003857</v>
      </c>
      <c r="BB277" s="11">
        <v>15.969931384496437</v>
      </c>
      <c r="BC277" s="11" t="s">
        <v>114</v>
      </c>
      <c r="BD277" s="11">
        <v>43.846639091749076</v>
      </c>
    </row>
    <row r="278" spans="1:56" x14ac:dyDescent="0.3">
      <c r="A278" s="12" t="s">
        <v>361</v>
      </c>
      <c r="B278" s="13" t="s">
        <v>63</v>
      </c>
      <c r="C278" s="10">
        <v>3888.1685999297633</v>
      </c>
      <c r="D278" s="11">
        <v>1009.8545324143051</v>
      </c>
      <c r="E278" s="10">
        <v>68.237118944930387</v>
      </c>
      <c r="F278" s="10">
        <v>123059.9416589914</v>
      </c>
      <c r="G278" s="10" t="s">
        <v>114</v>
      </c>
      <c r="H278" s="10">
        <v>305008.43329572224</v>
      </c>
      <c r="I278" s="11">
        <v>316277.29501899442</v>
      </c>
      <c r="J278" s="10" t="s">
        <v>114</v>
      </c>
      <c r="K278" s="11">
        <v>61.936553542156517</v>
      </c>
      <c r="L278" s="11">
        <v>21.557593630722646</v>
      </c>
      <c r="M278" s="11">
        <v>1859.6672698705511</v>
      </c>
      <c r="N278" s="11">
        <v>18249.76166480326</v>
      </c>
      <c r="O278" s="10">
        <v>18588.486743642665</v>
      </c>
      <c r="P278" s="10">
        <v>10.421502752217259</v>
      </c>
      <c r="Q278" s="11">
        <v>40.979134666711772</v>
      </c>
      <c r="R278" s="11">
        <v>32.334004208686345</v>
      </c>
      <c r="S278" s="10">
        <v>32.481350022745609</v>
      </c>
      <c r="T278" s="11">
        <v>114.7238693972287</v>
      </c>
      <c r="U278" s="10">
        <v>115.71524996255623</v>
      </c>
      <c r="V278" s="10">
        <v>140.72243384182687</v>
      </c>
      <c r="W278" s="10" t="s">
        <v>114</v>
      </c>
      <c r="X278" s="10" t="s">
        <v>114</v>
      </c>
      <c r="Y278" s="11">
        <v>1282.7410279365224</v>
      </c>
      <c r="Z278" s="10">
        <v>3.6893033919494282</v>
      </c>
      <c r="AA278" s="10">
        <v>4.6305051244976996</v>
      </c>
      <c r="AB278" s="10">
        <v>4.7315209829286857</v>
      </c>
      <c r="AC278" s="10" t="s">
        <v>114</v>
      </c>
      <c r="AD278" s="10" t="s">
        <v>114</v>
      </c>
      <c r="AE278" s="10">
        <v>1.9898818099093074</v>
      </c>
      <c r="AF278" s="10">
        <v>3.5357609245268594E-3</v>
      </c>
      <c r="AG278" s="11">
        <v>105.12020123569299</v>
      </c>
      <c r="AH278" s="11" t="s">
        <v>114</v>
      </c>
      <c r="AI278" s="11" t="s">
        <v>114</v>
      </c>
      <c r="AJ278" s="11" t="s">
        <v>114</v>
      </c>
      <c r="AK278" s="11" t="s">
        <v>114</v>
      </c>
      <c r="AL278" s="11" t="s">
        <v>114</v>
      </c>
      <c r="AM278" s="11" t="s">
        <v>114</v>
      </c>
      <c r="AN278" s="11" t="s">
        <v>114</v>
      </c>
      <c r="AO278" s="11" t="s">
        <v>114</v>
      </c>
      <c r="AP278" s="11" t="s">
        <v>114</v>
      </c>
      <c r="AQ278" s="11" t="s">
        <v>114</v>
      </c>
      <c r="AR278" s="11" t="s">
        <v>114</v>
      </c>
      <c r="AS278" s="11" t="s">
        <v>114</v>
      </c>
      <c r="AT278" s="11" t="s">
        <v>114</v>
      </c>
      <c r="AU278" s="11" t="s">
        <v>114</v>
      </c>
      <c r="AV278" s="10">
        <v>0.94044349332099253</v>
      </c>
      <c r="AW278" s="10">
        <v>13.567599686535038</v>
      </c>
      <c r="AX278" s="10" t="s">
        <v>114</v>
      </c>
      <c r="AY278" s="10" t="s">
        <v>114</v>
      </c>
      <c r="AZ278" s="10">
        <v>6.8977179271557931</v>
      </c>
      <c r="BA278" s="10">
        <v>6.2742074388302775</v>
      </c>
      <c r="BB278" s="11">
        <v>6.541265995769999</v>
      </c>
      <c r="BC278" s="11" t="s">
        <v>114</v>
      </c>
      <c r="BD278" s="11">
        <v>36.259186692983718</v>
      </c>
    </row>
    <row r="279" spans="1:56" x14ac:dyDescent="0.3">
      <c r="A279" s="12" t="s">
        <v>362</v>
      </c>
      <c r="B279" s="13" t="s">
        <v>63</v>
      </c>
      <c r="C279" s="10">
        <v>4316.2896591830413</v>
      </c>
      <c r="D279" s="11">
        <v>868.21415025597196</v>
      </c>
      <c r="E279" s="10">
        <v>42.996543999630561</v>
      </c>
      <c r="F279" s="10">
        <v>145096.23278284789</v>
      </c>
      <c r="G279" s="10" t="s">
        <v>114</v>
      </c>
      <c r="H279" s="10">
        <v>365228.43989849597</v>
      </c>
      <c r="I279" s="11">
        <v>375462.27669008914</v>
      </c>
      <c r="J279" s="10">
        <v>4.2170882856188356</v>
      </c>
      <c r="K279" s="11">
        <v>12.29057021576882</v>
      </c>
      <c r="L279" s="11">
        <v>12.955559410306039</v>
      </c>
      <c r="M279" s="11">
        <v>2107.3096996459376</v>
      </c>
      <c r="N279" s="11">
        <v>1098.4989849342578</v>
      </c>
      <c r="O279" s="10">
        <v>1116.212524522417</v>
      </c>
      <c r="P279" s="10">
        <v>9.4446211602610219</v>
      </c>
      <c r="Q279" s="11">
        <v>28.969095366822845</v>
      </c>
      <c r="R279" s="11">
        <v>21.049260548204785</v>
      </c>
      <c r="S279" s="10">
        <v>21.611077747023767</v>
      </c>
      <c r="T279" s="11">
        <v>135.90881900284603</v>
      </c>
      <c r="U279" s="10">
        <v>137.75491527113994</v>
      </c>
      <c r="V279" s="10">
        <v>54.172834080379182</v>
      </c>
      <c r="W279" s="10" t="s">
        <v>114</v>
      </c>
      <c r="X279" s="10" t="s">
        <v>114</v>
      </c>
      <c r="Y279" s="11">
        <v>1312.9584415406744</v>
      </c>
      <c r="Z279" s="10">
        <v>10.345848934894642</v>
      </c>
      <c r="AA279" s="10">
        <v>3.4030578458576848</v>
      </c>
      <c r="AB279" s="10">
        <v>3.3453687524672358</v>
      </c>
      <c r="AC279" s="10" t="s">
        <v>114</v>
      </c>
      <c r="AD279" s="10" t="s">
        <v>114</v>
      </c>
      <c r="AE279" s="10">
        <v>1.5200539658139469</v>
      </c>
      <c r="AF279" s="10">
        <v>3.7414047054055381E-3</v>
      </c>
      <c r="AG279" s="11">
        <v>121.7636199233458</v>
      </c>
      <c r="AH279" s="11" t="s">
        <v>114</v>
      </c>
      <c r="AI279" s="11" t="s">
        <v>114</v>
      </c>
      <c r="AJ279" s="11" t="s">
        <v>114</v>
      </c>
      <c r="AK279" s="11" t="s">
        <v>114</v>
      </c>
      <c r="AL279" s="11" t="s">
        <v>114</v>
      </c>
      <c r="AM279" s="11">
        <v>4.9674715691936707E-3</v>
      </c>
      <c r="AN279" s="11">
        <v>1.6546034923447393E-2</v>
      </c>
      <c r="AO279" s="11" t="s">
        <v>114</v>
      </c>
      <c r="AP279" s="11">
        <v>2.8810119125046166E-2</v>
      </c>
      <c r="AQ279" s="11" t="s">
        <v>114</v>
      </c>
      <c r="AR279" s="11">
        <v>2.2188281254421488E-2</v>
      </c>
      <c r="AS279" s="11">
        <v>5.3357107167511138E-3</v>
      </c>
      <c r="AT279" s="11">
        <v>2.6644137457907724E-2</v>
      </c>
      <c r="AU279" s="11">
        <v>6.6961389414909155E-3</v>
      </c>
      <c r="AV279" s="10">
        <v>5.0358303284700545</v>
      </c>
      <c r="AW279" s="10">
        <v>15.369154420525808</v>
      </c>
      <c r="AX279" s="10" t="s">
        <v>114</v>
      </c>
      <c r="AY279" s="10" t="s">
        <v>114</v>
      </c>
      <c r="AZ279" s="10">
        <v>9.7674242677828023</v>
      </c>
      <c r="BA279" s="10">
        <v>8.6883445390878027</v>
      </c>
      <c r="BB279" s="11">
        <v>9.19758198099899</v>
      </c>
      <c r="BC279" s="11" t="s">
        <v>114</v>
      </c>
      <c r="BD279" s="11">
        <v>42.241429855254054</v>
      </c>
    </row>
    <row r="280" spans="1:56" x14ac:dyDescent="0.3">
      <c r="A280" s="12" t="s">
        <v>363</v>
      </c>
      <c r="B280" s="13" t="s">
        <v>63</v>
      </c>
      <c r="C280" s="10">
        <v>5041.0860459503792</v>
      </c>
      <c r="D280" s="11">
        <v>1012.0052655979899</v>
      </c>
      <c r="E280" s="10">
        <v>71.638023853397897</v>
      </c>
      <c r="F280" s="10">
        <v>133788.51625629986</v>
      </c>
      <c r="G280" s="10" t="s">
        <v>114</v>
      </c>
      <c r="H280" s="10">
        <v>341886.59559336101</v>
      </c>
      <c r="I280" s="11">
        <v>354449.65921773476</v>
      </c>
      <c r="J280" s="10" t="s">
        <v>114</v>
      </c>
      <c r="K280" s="11">
        <v>30.533451829582411</v>
      </c>
      <c r="L280" s="11">
        <v>12.094001469745443</v>
      </c>
      <c r="M280" s="11">
        <v>2567.0929368792085</v>
      </c>
      <c r="N280" s="11">
        <v>5173.3349664852249</v>
      </c>
      <c r="O280" s="10">
        <v>5125.9699180057105</v>
      </c>
      <c r="P280" s="10">
        <v>8.7260900127372896</v>
      </c>
      <c r="Q280" s="11">
        <v>48.648917611258831</v>
      </c>
      <c r="R280" s="11">
        <v>24.863516204538499</v>
      </c>
      <c r="S280" s="10">
        <v>25.129540731412838</v>
      </c>
      <c r="T280" s="11">
        <v>120.29657695041533</v>
      </c>
      <c r="U280" s="10">
        <v>120.79699216549183</v>
      </c>
      <c r="V280" s="10">
        <v>100.50425721270527</v>
      </c>
      <c r="W280" s="10" t="s">
        <v>114</v>
      </c>
      <c r="X280" s="10" t="s">
        <v>114</v>
      </c>
      <c r="Y280" s="11">
        <v>1529.2045717600465</v>
      </c>
      <c r="Z280" s="10">
        <v>8.2397540966314313</v>
      </c>
      <c r="AA280" s="10">
        <v>3.9973449754346753</v>
      </c>
      <c r="AB280" s="10">
        <v>4.1132994721292127</v>
      </c>
      <c r="AC280" s="10" t="s">
        <v>114</v>
      </c>
      <c r="AD280" s="10" t="s">
        <v>114</v>
      </c>
      <c r="AE280" s="10">
        <v>1.9173474843915621</v>
      </c>
      <c r="AF280" s="10">
        <v>3.9833342395440953E-3</v>
      </c>
      <c r="AG280" s="11">
        <v>111.8494281860209</v>
      </c>
      <c r="AH280" s="11" t="s">
        <v>114</v>
      </c>
      <c r="AI280" s="11" t="s">
        <v>114</v>
      </c>
      <c r="AJ280" s="11" t="s">
        <v>114</v>
      </c>
      <c r="AK280" s="11" t="s">
        <v>114</v>
      </c>
      <c r="AL280" s="11" t="s">
        <v>114</v>
      </c>
      <c r="AM280" s="11" t="s">
        <v>114</v>
      </c>
      <c r="AN280" s="11" t="s">
        <v>114</v>
      </c>
      <c r="AO280" s="11" t="s">
        <v>114</v>
      </c>
      <c r="AP280" s="11" t="s">
        <v>114</v>
      </c>
      <c r="AQ280" s="11" t="s">
        <v>114</v>
      </c>
      <c r="AR280" s="11" t="s">
        <v>114</v>
      </c>
      <c r="AS280" s="11" t="s">
        <v>114</v>
      </c>
      <c r="AT280" s="11" t="s">
        <v>114</v>
      </c>
      <c r="AU280" s="11" t="s">
        <v>114</v>
      </c>
      <c r="AV280" s="10">
        <v>3.3813009237410565</v>
      </c>
      <c r="AW280" s="10">
        <v>14.584102452646299</v>
      </c>
      <c r="AX280" s="10" t="s">
        <v>114</v>
      </c>
      <c r="AY280" s="10" t="s">
        <v>114</v>
      </c>
      <c r="AZ280" s="10">
        <v>9.2114033180273616</v>
      </c>
      <c r="BA280" s="10">
        <v>8.3226201486526676</v>
      </c>
      <c r="BB280" s="11">
        <v>8.7345880320793441</v>
      </c>
      <c r="BC280" s="11" t="s">
        <v>114</v>
      </c>
      <c r="BD280" s="11">
        <v>43.707264596195316</v>
      </c>
    </row>
    <row r="281" spans="1:56" x14ac:dyDescent="0.3">
      <c r="A281" s="12" t="s">
        <v>364</v>
      </c>
      <c r="B281" s="13" t="s">
        <v>63</v>
      </c>
      <c r="C281" s="10">
        <v>5467.0469690352838</v>
      </c>
      <c r="D281" s="11">
        <v>1021.9705316485245</v>
      </c>
      <c r="E281" s="10">
        <v>80.496270317262955</v>
      </c>
      <c r="F281" s="10">
        <v>136330.0843197536</v>
      </c>
      <c r="G281" s="10" t="s">
        <v>114</v>
      </c>
      <c r="H281" s="10">
        <v>342118.13249620493</v>
      </c>
      <c r="I281" s="11">
        <v>351042.35103353328</v>
      </c>
      <c r="J281" s="10" t="s">
        <v>114</v>
      </c>
      <c r="K281" s="11">
        <v>22.767444346788867</v>
      </c>
      <c r="L281" s="11">
        <v>11.690008533490646</v>
      </c>
      <c r="M281" s="11">
        <v>2009.6875666001417</v>
      </c>
      <c r="N281" s="11">
        <v>5284.2386689613486</v>
      </c>
      <c r="O281" s="10">
        <v>5256.5186927484674</v>
      </c>
      <c r="P281" s="10">
        <v>18.183878810260016</v>
      </c>
      <c r="Q281" s="11">
        <v>22.982566310068886</v>
      </c>
      <c r="R281" s="11">
        <v>46.881100850031373</v>
      </c>
      <c r="S281" s="10">
        <v>46.701717187996181</v>
      </c>
      <c r="T281" s="11">
        <v>211.16334273791577</v>
      </c>
      <c r="U281" s="10">
        <v>207.9665839964625</v>
      </c>
      <c r="V281" s="10">
        <v>34.189066987701551</v>
      </c>
      <c r="W281" s="10" t="s">
        <v>114</v>
      </c>
      <c r="X281" s="10" t="s">
        <v>114</v>
      </c>
      <c r="Y281" s="11">
        <v>1402.0798001060675</v>
      </c>
      <c r="Z281" s="10">
        <v>7.823220970124928</v>
      </c>
      <c r="AA281" s="10">
        <v>1.9029929679221325</v>
      </c>
      <c r="AB281" s="10">
        <v>1.7486115204012855</v>
      </c>
      <c r="AC281" s="10" t="s">
        <v>114</v>
      </c>
      <c r="AD281" s="10" t="s">
        <v>114</v>
      </c>
      <c r="AE281" s="10">
        <v>1.9187739636289107</v>
      </c>
      <c r="AF281" s="10">
        <v>3.8580983649030179E-3</v>
      </c>
      <c r="AG281" s="11">
        <v>65.733860657398836</v>
      </c>
      <c r="AH281" s="11" t="s">
        <v>114</v>
      </c>
      <c r="AI281" s="11" t="s">
        <v>114</v>
      </c>
      <c r="AJ281" s="11" t="s">
        <v>114</v>
      </c>
      <c r="AK281" s="11" t="s">
        <v>114</v>
      </c>
      <c r="AL281" s="11" t="s">
        <v>114</v>
      </c>
      <c r="AM281" s="11" t="s">
        <v>114</v>
      </c>
      <c r="AN281" s="11" t="s">
        <v>114</v>
      </c>
      <c r="AO281" s="11" t="s">
        <v>114</v>
      </c>
      <c r="AP281" s="11">
        <v>2.194542361182383E-2</v>
      </c>
      <c r="AQ281" s="11" t="s">
        <v>114</v>
      </c>
      <c r="AR281" s="11">
        <v>3.9520509889718468E-2</v>
      </c>
      <c r="AS281" s="11">
        <v>5.3639770390574047E-3</v>
      </c>
      <c r="AT281" s="11">
        <v>4.8906887091473707E-2</v>
      </c>
      <c r="AU281" s="11">
        <v>1.1175222750368159E-2</v>
      </c>
      <c r="AV281" s="10">
        <v>2.2945502214603861</v>
      </c>
      <c r="AW281" s="10">
        <v>13.341946779758535</v>
      </c>
      <c r="AX281" s="10" t="s">
        <v>114</v>
      </c>
      <c r="AY281" s="10" t="s">
        <v>114</v>
      </c>
      <c r="AZ281" s="10">
        <v>28.911335965043676</v>
      </c>
      <c r="BA281" s="10">
        <v>26.127035805220309</v>
      </c>
      <c r="BB281" s="11">
        <v>27.352440415405688</v>
      </c>
      <c r="BC281" s="11" t="s">
        <v>114</v>
      </c>
      <c r="BD281" s="11">
        <v>52.001415256153457</v>
      </c>
    </row>
    <row r="282" spans="1:56" x14ac:dyDescent="0.3">
      <c r="A282" s="12" t="s">
        <v>365</v>
      </c>
      <c r="B282" s="13" t="s">
        <v>64</v>
      </c>
      <c r="C282" s="10">
        <v>8279.9791000629211</v>
      </c>
      <c r="D282" s="11">
        <v>3632.929300845497</v>
      </c>
      <c r="E282" s="10">
        <v>68.034720728422855</v>
      </c>
      <c r="F282" s="10">
        <v>192100.62285793794</v>
      </c>
      <c r="G282" s="10">
        <v>212.54915875462999</v>
      </c>
      <c r="H282" s="10">
        <v>454430.97442068357</v>
      </c>
      <c r="I282" s="11">
        <v>451911.4378320484</v>
      </c>
      <c r="J282" s="10">
        <v>25.650587081757482</v>
      </c>
      <c r="K282" s="11">
        <v>0.95096490404872536</v>
      </c>
      <c r="L282" s="11">
        <v>1.2132529957283327</v>
      </c>
      <c r="M282" s="11">
        <v>22.436217925658671</v>
      </c>
      <c r="N282" s="11">
        <v>140.21604461467845</v>
      </c>
      <c r="O282" s="10">
        <v>157.77237475838646</v>
      </c>
      <c r="P282" s="10">
        <v>0.42237091393225129</v>
      </c>
      <c r="Q282" s="11">
        <v>64.542780377827157</v>
      </c>
      <c r="R282" s="11">
        <v>1.8047740424254919</v>
      </c>
      <c r="S282" s="10">
        <v>1.8468710049917838</v>
      </c>
      <c r="T282" s="11">
        <v>286.92081502922065</v>
      </c>
      <c r="U282" s="10">
        <v>273.54810635370649</v>
      </c>
      <c r="V282" s="10" t="s">
        <v>114</v>
      </c>
      <c r="W282" s="10" t="s">
        <v>114</v>
      </c>
      <c r="X282" s="10">
        <v>0.13105483742479429</v>
      </c>
      <c r="Y282" s="11">
        <v>306.65001581809389</v>
      </c>
      <c r="Z282" s="10">
        <v>1.3426570359603474</v>
      </c>
      <c r="AA282" s="10">
        <v>1.0261186758681216</v>
      </c>
      <c r="AB282" s="10">
        <v>1.0576673368080771</v>
      </c>
      <c r="AC282" s="10" t="s">
        <v>114</v>
      </c>
      <c r="AD282" s="10" t="s">
        <v>114</v>
      </c>
      <c r="AE282" s="10" t="s">
        <v>114</v>
      </c>
      <c r="AF282" s="10">
        <v>4.0918119758332214E-3</v>
      </c>
      <c r="AG282" s="11">
        <v>6.2348285536846451</v>
      </c>
      <c r="AH282" s="11" t="s">
        <v>114</v>
      </c>
      <c r="AI282" s="11" t="s">
        <v>114</v>
      </c>
      <c r="AJ282" s="11">
        <v>4.172456131763258E-2</v>
      </c>
      <c r="AK282" s="11">
        <v>0.17166262542459768</v>
      </c>
      <c r="AL282" s="11">
        <v>4.0770076402595889E-2</v>
      </c>
      <c r="AM282" s="11">
        <v>1.1208815265646365E-2</v>
      </c>
      <c r="AN282" s="11">
        <v>3.9283508802818799E-2</v>
      </c>
      <c r="AO282" s="11">
        <v>5.3263634491222808E-3</v>
      </c>
      <c r="AP282" s="11">
        <v>3.0387509502306221E-2</v>
      </c>
      <c r="AQ282" s="11">
        <v>6.0036211576656798E-3</v>
      </c>
      <c r="AR282" s="11">
        <v>1.619557308385022E-2</v>
      </c>
      <c r="AS282" s="11">
        <v>2.6917160457965742E-3</v>
      </c>
      <c r="AT282" s="11">
        <v>1.5668912844458958E-2</v>
      </c>
      <c r="AU282" s="11">
        <v>2.3976160081871363E-3</v>
      </c>
      <c r="AV282" s="10">
        <v>1.2636156196609138</v>
      </c>
      <c r="AW282" s="10">
        <v>16.501513709333118</v>
      </c>
      <c r="AX282" s="10">
        <v>1.4459693908788079E-2</v>
      </c>
      <c r="AY282" s="10" t="s">
        <v>114</v>
      </c>
      <c r="AZ282" s="10">
        <v>3.0422282303671193</v>
      </c>
      <c r="BA282" s="10">
        <v>2.7985209281182999</v>
      </c>
      <c r="BB282" s="11">
        <v>2.9182819587886657</v>
      </c>
      <c r="BC282" s="11">
        <v>1.4185004109542736</v>
      </c>
      <c r="BD282" s="11">
        <v>0.52259547431564923</v>
      </c>
    </row>
    <row r="283" spans="1:56" x14ac:dyDescent="0.3">
      <c r="A283" s="12" t="s">
        <v>366</v>
      </c>
      <c r="B283" s="13" t="s">
        <v>64</v>
      </c>
      <c r="C283" s="10">
        <v>11001.963544367918</v>
      </c>
      <c r="D283" s="11">
        <v>4959.576591142687</v>
      </c>
      <c r="E283" s="10">
        <v>25.321281719981222</v>
      </c>
      <c r="F283" s="10">
        <v>227671.77706193921</v>
      </c>
      <c r="G283" s="10">
        <v>299.43539629912539</v>
      </c>
      <c r="H283" s="10">
        <v>549343.86120080797</v>
      </c>
      <c r="I283" s="11">
        <v>551859.24723696115</v>
      </c>
      <c r="J283" s="10">
        <v>22.458164350335274</v>
      </c>
      <c r="K283" s="11">
        <v>3.7782936789157135</v>
      </c>
      <c r="L283" s="11">
        <v>1.8917708809630498</v>
      </c>
      <c r="M283" s="11">
        <v>117.85118413644084</v>
      </c>
      <c r="N283" s="11">
        <v>678.41011036580528</v>
      </c>
      <c r="O283" s="10">
        <v>688.28288382250389</v>
      </c>
      <c r="P283" s="10">
        <v>0.32139269804639736</v>
      </c>
      <c r="Q283" s="11">
        <v>4.1931692759712149</v>
      </c>
      <c r="R283" s="11">
        <v>4.2308686388221597</v>
      </c>
      <c r="S283" s="10">
        <v>4.1210661948312222</v>
      </c>
      <c r="T283" s="11">
        <v>191.74808156092061</v>
      </c>
      <c r="U283" s="10">
        <v>181.20665527487307</v>
      </c>
      <c r="V283" s="10">
        <v>5.8872352838028235</v>
      </c>
      <c r="W283" s="10" t="s">
        <v>114</v>
      </c>
      <c r="X283" s="10">
        <v>0.21018582627802984</v>
      </c>
      <c r="Y283" s="11">
        <v>513.33919783532849</v>
      </c>
      <c r="Z283" s="10">
        <v>2.5832412305629124</v>
      </c>
      <c r="AA283" s="10">
        <v>0.91903342109003039</v>
      </c>
      <c r="AB283" s="10">
        <v>0.99417994410408572</v>
      </c>
      <c r="AC283" s="10" t="s">
        <v>114</v>
      </c>
      <c r="AD283" s="10" t="s">
        <v>114</v>
      </c>
      <c r="AE283" s="10" t="s">
        <v>114</v>
      </c>
      <c r="AF283" s="10">
        <v>4.8103508031302417E-3</v>
      </c>
      <c r="AG283" s="11">
        <v>10.251174247928835</v>
      </c>
      <c r="AH283" s="11">
        <v>0.23922204172309394</v>
      </c>
      <c r="AI283" s="11">
        <v>0.43235463418399733</v>
      </c>
      <c r="AJ283" s="11">
        <v>5.8790341557490751E-2</v>
      </c>
      <c r="AK283" s="11">
        <v>0.28332911451777304</v>
      </c>
      <c r="AL283" s="11">
        <v>5.7743806556397603E-2</v>
      </c>
      <c r="AM283" s="11">
        <v>1.1456253413821641E-2</v>
      </c>
      <c r="AN283" s="11">
        <v>6.1135554075895451E-2</v>
      </c>
      <c r="AO283" s="11">
        <v>1.0437422064965483E-2</v>
      </c>
      <c r="AP283" s="11">
        <v>5.7022749211315345E-2</v>
      </c>
      <c r="AQ283" s="11">
        <v>1.4857475323035838E-2</v>
      </c>
      <c r="AR283" s="11">
        <v>3.3280009209548336E-2</v>
      </c>
      <c r="AS283" s="11">
        <v>4.7186250186263884E-3</v>
      </c>
      <c r="AT283" s="11">
        <v>2.5330769160574855E-2</v>
      </c>
      <c r="AU283" s="11">
        <v>4.8154811306998016E-3</v>
      </c>
      <c r="AV283" s="10">
        <v>1.7336374418299747</v>
      </c>
      <c r="AW283" s="10">
        <v>15.878451933705509</v>
      </c>
      <c r="AX283" s="10">
        <v>1.0733083935777429E-2</v>
      </c>
      <c r="AY283" s="10">
        <v>8.9821414096988281E-2</v>
      </c>
      <c r="AZ283" s="10">
        <v>3.329849185583055</v>
      </c>
      <c r="BA283" s="10">
        <v>3.047371817898918</v>
      </c>
      <c r="BB283" s="11">
        <v>3.1520564293350111</v>
      </c>
      <c r="BC283" s="11">
        <v>1.1977862093970404</v>
      </c>
      <c r="BD283" s="11">
        <v>5.1455912311449161</v>
      </c>
    </row>
    <row r="284" spans="1:56" x14ac:dyDescent="0.3">
      <c r="A284" s="12" t="s">
        <v>367</v>
      </c>
      <c r="B284" s="13" t="s">
        <v>64</v>
      </c>
      <c r="C284" s="10">
        <v>11773.555570340886</v>
      </c>
      <c r="D284" s="11">
        <v>6114.5936184792772</v>
      </c>
      <c r="E284" s="10">
        <v>1332.5419822752008</v>
      </c>
      <c r="F284" s="10">
        <v>243372.08849340666</v>
      </c>
      <c r="G284" s="10">
        <v>538.48748037279529</v>
      </c>
      <c r="H284" s="10">
        <v>611349.41712917201</v>
      </c>
      <c r="I284" s="11">
        <v>615370.65877994918</v>
      </c>
      <c r="J284" s="10">
        <v>780.14940588152206</v>
      </c>
      <c r="K284" s="11">
        <v>7.598778209250673</v>
      </c>
      <c r="L284" s="11">
        <v>23.292211609919349</v>
      </c>
      <c r="M284" s="11">
        <v>229.48249171759807</v>
      </c>
      <c r="N284" s="11">
        <v>595.90855432784895</v>
      </c>
      <c r="O284" s="10">
        <v>606.88909268486123</v>
      </c>
      <c r="P284" s="10">
        <v>1.4338867447788772</v>
      </c>
      <c r="Q284" s="11">
        <v>556.07127144604135</v>
      </c>
      <c r="R284" s="11">
        <v>9.2153964661345338</v>
      </c>
      <c r="S284" s="10">
        <v>9.3720913362287384</v>
      </c>
      <c r="T284" s="11">
        <v>589.60772862946601</v>
      </c>
      <c r="U284" s="10">
        <v>561.59442873660396</v>
      </c>
      <c r="V284" s="10">
        <v>4.8830699557249373</v>
      </c>
      <c r="W284" s="10" t="s">
        <v>114</v>
      </c>
      <c r="X284" s="10">
        <v>0.33772453224758092</v>
      </c>
      <c r="Y284" s="11">
        <v>1018.992662794265</v>
      </c>
      <c r="Z284" s="10">
        <v>4.2399409076506496</v>
      </c>
      <c r="AA284" s="10">
        <v>1.9148547643000058</v>
      </c>
      <c r="AB284" s="10">
        <v>1.9242861317487778</v>
      </c>
      <c r="AC284" s="10">
        <v>0.13087531917168715</v>
      </c>
      <c r="AD284" s="10" t="s">
        <v>114</v>
      </c>
      <c r="AE284" s="10">
        <v>0.32980430804210392</v>
      </c>
      <c r="AF284" s="10">
        <v>5.9068318898325665E-3</v>
      </c>
      <c r="AG284" s="11">
        <v>42.665921241016328</v>
      </c>
      <c r="AH284" s="11">
        <v>1.4159828188251242</v>
      </c>
      <c r="AI284" s="11">
        <v>2.9738137945083771</v>
      </c>
      <c r="AJ284" s="11">
        <v>0.33289749335349783</v>
      </c>
      <c r="AK284" s="11">
        <v>1.4488976164356409</v>
      </c>
      <c r="AL284" s="11">
        <v>0.28867259547700252</v>
      </c>
      <c r="AM284" s="11">
        <v>6.8274204072789599E-2</v>
      </c>
      <c r="AN284" s="11">
        <v>0.31087552056395235</v>
      </c>
      <c r="AO284" s="11">
        <v>5.0567683907800538E-2</v>
      </c>
      <c r="AP284" s="11">
        <v>0.29454791693584015</v>
      </c>
      <c r="AQ284" s="11">
        <v>5.9393000220138673E-2</v>
      </c>
      <c r="AR284" s="11">
        <v>0.16931505609881045</v>
      </c>
      <c r="AS284" s="11">
        <v>2.0124603065456163E-2</v>
      </c>
      <c r="AT284" s="11">
        <v>0.12608443928833102</v>
      </c>
      <c r="AU284" s="11">
        <v>1.6871637493021067E-2</v>
      </c>
      <c r="AV284" s="10">
        <v>2.0404489348444854</v>
      </c>
      <c r="AW284" s="10">
        <v>15.078015171746101</v>
      </c>
      <c r="AX284" s="10">
        <v>7.7467516382674741E-3</v>
      </c>
      <c r="AY284" s="10">
        <v>7.7990147626694525E-2</v>
      </c>
      <c r="AZ284" s="10">
        <v>5.0591923438096256</v>
      </c>
      <c r="BA284" s="10">
        <v>4.7462011663900725</v>
      </c>
      <c r="BB284" s="11">
        <v>4.8448239548633598</v>
      </c>
      <c r="BC284" s="11">
        <v>1.0304234462752451</v>
      </c>
      <c r="BD284" s="11">
        <v>14.657317473507641</v>
      </c>
    </row>
    <row r="285" spans="1:56" x14ac:dyDescent="0.3">
      <c r="A285" s="12" t="s">
        <v>368</v>
      </c>
      <c r="B285" s="13" t="s">
        <v>64</v>
      </c>
      <c r="C285" s="10">
        <v>14170.079147445755</v>
      </c>
      <c r="D285" s="11">
        <v>6330.3836789898805</v>
      </c>
      <c r="E285" s="10">
        <v>26.534317673277464</v>
      </c>
      <c r="F285" s="10">
        <v>281517.07912346756</v>
      </c>
      <c r="G285" s="10">
        <v>358.51673005833379</v>
      </c>
      <c r="H285" s="10">
        <v>665275.42398812703</v>
      </c>
      <c r="I285" s="11">
        <v>663331.20022971393</v>
      </c>
      <c r="J285" s="10">
        <v>22.974438926617406</v>
      </c>
      <c r="K285" s="11">
        <v>0.99689600889125152</v>
      </c>
      <c r="L285" s="11">
        <v>1.0902688374996898</v>
      </c>
      <c r="M285" s="11">
        <v>39.448835007926768</v>
      </c>
      <c r="N285" s="11">
        <v>76.781178200041765</v>
      </c>
      <c r="O285" s="10">
        <v>95.600816125771587</v>
      </c>
      <c r="P285" s="10">
        <v>0.35214630595114216</v>
      </c>
      <c r="Q285" s="11">
        <v>31.051346366967636</v>
      </c>
      <c r="R285" s="11">
        <v>3.8751914194602186</v>
      </c>
      <c r="S285" s="10">
        <v>4.1151095031918778</v>
      </c>
      <c r="T285" s="11">
        <v>297.08338762311865</v>
      </c>
      <c r="U285" s="10">
        <v>280.87470416678309</v>
      </c>
      <c r="V285" s="10" t="s">
        <v>114</v>
      </c>
      <c r="W285" s="10" t="s">
        <v>114</v>
      </c>
      <c r="X285" s="10">
        <v>0.151056679171993</v>
      </c>
      <c r="Y285" s="11">
        <v>440.71117631521332</v>
      </c>
      <c r="Z285" s="10">
        <v>0.84673184207415253</v>
      </c>
      <c r="AA285" s="10">
        <v>0.85576840946315558</v>
      </c>
      <c r="AB285" s="10">
        <v>0.95946694162548052</v>
      </c>
      <c r="AC285" s="10" t="s">
        <v>114</v>
      </c>
      <c r="AD285" s="10" t="s">
        <v>114</v>
      </c>
      <c r="AE285" s="10" t="s">
        <v>114</v>
      </c>
      <c r="AF285" s="10">
        <v>6.8377392519582483E-3</v>
      </c>
      <c r="AG285" s="11">
        <v>5.6671759519956204</v>
      </c>
      <c r="AH285" s="11" t="s">
        <v>114</v>
      </c>
      <c r="AI285" s="11" t="s">
        <v>114</v>
      </c>
      <c r="AJ285" s="11">
        <v>3.2057735534276308E-2</v>
      </c>
      <c r="AK285" s="11">
        <v>0.12797584873003603</v>
      </c>
      <c r="AL285" s="11">
        <v>3.13591465086384E-2</v>
      </c>
      <c r="AM285" s="11">
        <v>7.1712960304397971E-3</v>
      </c>
      <c r="AN285" s="11">
        <v>2.9313093750577699E-2</v>
      </c>
      <c r="AO285" s="11">
        <v>5.0272508241058136E-3</v>
      </c>
      <c r="AP285" s="11">
        <v>3.0203182677874561E-2</v>
      </c>
      <c r="AQ285" s="11">
        <v>6.5022125238422424E-3</v>
      </c>
      <c r="AR285" s="11" t="s">
        <v>114</v>
      </c>
      <c r="AS285" s="11" t="s">
        <v>114</v>
      </c>
      <c r="AT285" s="11">
        <v>1.3091094588260032E-2</v>
      </c>
      <c r="AU285" s="11" t="s">
        <v>114</v>
      </c>
      <c r="AV285" s="10">
        <v>0.83953966082699183</v>
      </c>
      <c r="AW285" s="10">
        <v>16.806462965033575</v>
      </c>
      <c r="AX285" s="10">
        <v>8.0201768747963087E-3</v>
      </c>
      <c r="AY285" s="10" t="s">
        <v>114</v>
      </c>
      <c r="AZ285" s="10">
        <v>2.8996444696829742</v>
      </c>
      <c r="BA285" s="10">
        <v>2.7032194670866114</v>
      </c>
      <c r="BB285" s="11">
        <v>2.7742566053180608</v>
      </c>
      <c r="BC285" s="11">
        <v>0.70936304662418559</v>
      </c>
      <c r="BD285" s="11">
        <v>1.5218074874900642</v>
      </c>
    </row>
    <row r="286" spans="1:56" x14ac:dyDescent="0.3">
      <c r="A286" s="12" t="s">
        <v>369</v>
      </c>
      <c r="B286" s="13" t="s">
        <v>64</v>
      </c>
      <c r="C286" s="10">
        <v>12381.491161433956</v>
      </c>
      <c r="D286" s="11">
        <v>6239.2082969679759</v>
      </c>
      <c r="E286" s="10">
        <v>248.13748755191583</v>
      </c>
      <c r="F286" s="10">
        <v>285724.59890067391</v>
      </c>
      <c r="G286" s="10">
        <v>497.36342242857631</v>
      </c>
      <c r="H286" s="10">
        <v>702343.48363158084</v>
      </c>
      <c r="I286" s="11">
        <v>694569.50551428727</v>
      </c>
      <c r="J286" s="10">
        <v>42.615599984768338</v>
      </c>
      <c r="K286" s="11">
        <v>1.1360340448107817</v>
      </c>
      <c r="L286" s="11">
        <v>19.196829361308122</v>
      </c>
      <c r="M286" s="11">
        <v>58.789007117242541</v>
      </c>
      <c r="N286" s="11">
        <v>2725.8581025628537</v>
      </c>
      <c r="O286" s="10">
        <v>2727.0436089454115</v>
      </c>
      <c r="P286" s="10">
        <v>2.3835792671845795</v>
      </c>
      <c r="Q286" s="11">
        <v>14342.547494945637</v>
      </c>
      <c r="R286" s="11">
        <v>40.772362631428308</v>
      </c>
      <c r="S286" s="10">
        <v>41.132465692161873</v>
      </c>
      <c r="T286" s="11">
        <v>411.07110082355553</v>
      </c>
      <c r="U286" s="10">
        <v>386.33217523757742</v>
      </c>
      <c r="V286" s="10" t="s">
        <v>114</v>
      </c>
      <c r="W286" s="10" t="s">
        <v>114</v>
      </c>
      <c r="X286" s="10">
        <v>0.26382877243029129</v>
      </c>
      <c r="Y286" s="11">
        <v>284.54256774765707</v>
      </c>
      <c r="Z286" s="10">
        <v>1.3487225426046758</v>
      </c>
      <c r="AA286" s="10">
        <v>0.62444930140062882</v>
      </c>
      <c r="AB286" s="10">
        <v>0.78804466489464142</v>
      </c>
      <c r="AC286" s="10" t="s">
        <v>114</v>
      </c>
      <c r="AD286" s="10">
        <v>1.870704145889601</v>
      </c>
      <c r="AE286" s="10" t="s">
        <v>114</v>
      </c>
      <c r="AF286" s="10">
        <v>4.0572684180419562E-3</v>
      </c>
      <c r="AG286" s="11">
        <v>10.427416813168209</v>
      </c>
      <c r="AH286" s="11">
        <v>0.28578328365896416</v>
      </c>
      <c r="AI286" s="11">
        <v>0.63716719144182898</v>
      </c>
      <c r="AJ286" s="11">
        <v>7.9309428249878494E-2</v>
      </c>
      <c r="AK286" s="11">
        <v>0.35663631129427387</v>
      </c>
      <c r="AL286" s="11">
        <v>7.3634293570783091E-2</v>
      </c>
      <c r="AM286" s="11">
        <v>1.3638773767650825E-2</v>
      </c>
      <c r="AN286" s="11">
        <v>7.389188482307997E-2</v>
      </c>
      <c r="AO286" s="11">
        <v>1.2756937983546742E-2</v>
      </c>
      <c r="AP286" s="11">
        <v>7.3419434458177502E-2</v>
      </c>
      <c r="AQ286" s="11">
        <v>1.2956512111265918E-2</v>
      </c>
      <c r="AR286" s="11">
        <v>4.5676493431262802E-2</v>
      </c>
      <c r="AS286" s="11">
        <v>5.4300161724533591E-3</v>
      </c>
      <c r="AT286" s="11">
        <v>2.9925879004485394E-2</v>
      </c>
      <c r="AU286" s="11">
        <v>5.0162047799834604E-3</v>
      </c>
      <c r="AV286" s="10">
        <v>0.64623955546896383</v>
      </c>
      <c r="AW286" s="10">
        <v>14.959751290283942</v>
      </c>
      <c r="AX286" s="10">
        <v>6.9375304851154148E-3</v>
      </c>
      <c r="AY286" s="10" t="s">
        <v>114</v>
      </c>
      <c r="AZ286" s="10">
        <v>7.5435922096601011</v>
      </c>
      <c r="BA286" s="10">
        <v>7.091284173777324</v>
      </c>
      <c r="BB286" s="11">
        <v>7.2500539631041256</v>
      </c>
      <c r="BC286" s="11">
        <v>0.5666929338075064</v>
      </c>
      <c r="BD286" s="11">
        <v>0.63839538446875144</v>
      </c>
    </row>
    <row r="287" spans="1:56" x14ac:dyDescent="0.3">
      <c r="A287" s="12" t="s">
        <v>370</v>
      </c>
      <c r="B287" s="13" t="s">
        <v>64</v>
      </c>
      <c r="C287" s="10">
        <v>12424.801079833898</v>
      </c>
      <c r="D287" s="11">
        <v>6058.1107361785726</v>
      </c>
      <c r="E287" s="10">
        <v>44.984541588427788</v>
      </c>
      <c r="F287" s="10">
        <v>282382.66724651796</v>
      </c>
      <c r="G287" s="10">
        <v>313.37212485612594</v>
      </c>
      <c r="H287" s="10">
        <v>695679.83068833593</v>
      </c>
      <c r="I287" s="11">
        <v>697717.98212215852</v>
      </c>
      <c r="J287" s="10">
        <v>40.867149333848225</v>
      </c>
      <c r="K287" s="11">
        <v>5.2045894068708654</v>
      </c>
      <c r="L287" s="11">
        <v>2.5252156289215555</v>
      </c>
      <c r="M287" s="11">
        <v>228.02975474924065</v>
      </c>
      <c r="N287" s="11">
        <v>753.44463308837032</v>
      </c>
      <c r="O287" s="10">
        <v>757.43139258882945</v>
      </c>
      <c r="P287" s="10">
        <v>2.5297815284674114</v>
      </c>
      <c r="Q287" s="11">
        <v>809.72851328646789</v>
      </c>
      <c r="R287" s="11">
        <v>242.8774645072159</v>
      </c>
      <c r="S287" s="10">
        <v>242.59765334949083</v>
      </c>
      <c r="T287" s="11">
        <v>310.26327602703191</v>
      </c>
      <c r="U287" s="10">
        <v>291.71545343183863</v>
      </c>
      <c r="V287" s="10">
        <v>4.6095271795222077</v>
      </c>
      <c r="W287" s="10" t="s">
        <v>114</v>
      </c>
      <c r="X287" s="10">
        <v>0.17060589286398362</v>
      </c>
      <c r="Y287" s="11">
        <v>1093.9275936444046</v>
      </c>
      <c r="Z287" s="10">
        <v>3.7852751456505875</v>
      </c>
      <c r="AA287" s="10">
        <v>1.3241585053990792</v>
      </c>
      <c r="AB287" s="10">
        <v>1.2703789119428361</v>
      </c>
      <c r="AC287" s="10" t="s">
        <v>114</v>
      </c>
      <c r="AD287" s="10" t="s">
        <v>114</v>
      </c>
      <c r="AE287" s="10">
        <v>0.36730537159464316</v>
      </c>
      <c r="AF287" s="10">
        <v>5.3489045259765017E-3</v>
      </c>
      <c r="AG287" s="11">
        <v>19.43319605008972</v>
      </c>
      <c r="AH287" s="11">
        <v>0.44299409424392866</v>
      </c>
      <c r="AI287" s="11">
        <v>0.9055520144115522</v>
      </c>
      <c r="AJ287" s="11">
        <v>0.10697787604891222</v>
      </c>
      <c r="AK287" s="11">
        <v>0.47710790602898423</v>
      </c>
      <c r="AL287" s="11">
        <v>8.6557719314906217E-2</v>
      </c>
      <c r="AM287" s="11">
        <v>2.0336384627332445E-2</v>
      </c>
      <c r="AN287" s="11">
        <v>0.10981824360234137</v>
      </c>
      <c r="AO287" s="11">
        <v>1.4210136490541881E-2</v>
      </c>
      <c r="AP287" s="11">
        <v>0.11444584945517304</v>
      </c>
      <c r="AQ287" s="11">
        <v>2.0581405723533903E-2</v>
      </c>
      <c r="AR287" s="11">
        <v>6.270966984207707E-2</v>
      </c>
      <c r="AS287" s="11">
        <v>9.3056683831655648E-3</v>
      </c>
      <c r="AT287" s="11">
        <v>5.8589993239453977E-2</v>
      </c>
      <c r="AU287" s="11">
        <v>7.0848410377473831E-3</v>
      </c>
      <c r="AV287" s="10">
        <v>1.772846864476761</v>
      </c>
      <c r="AW287" s="10">
        <v>15.879732424829403</v>
      </c>
      <c r="AX287" s="10">
        <v>4.5957127291377086E-3</v>
      </c>
      <c r="AY287" s="10" t="s">
        <v>114</v>
      </c>
      <c r="AZ287" s="10">
        <v>2.4941973197389311</v>
      </c>
      <c r="BA287" s="10">
        <v>2.3082080653769679</v>
      </c>
      <c r="BB287" s="11">
        <v>2.3694703459952136</v>
      </c>
      <c r="BC287" s="11">
        <v>1.1394159444137526</v>
      </c>
      <c r="BD287" s="11">
        <v>13.532197477318986</v>
      </c>
    </row>
    <row r="288" spans="1:56" x14ac:dyDescent="0.3">
      <c r="A288" s="12" t="s">
        <v>371</v>
      </c>
      <c r="B288" s="13" t="s">
        <v>64</v>
      </c>
      <c r="C288" s="10">
        <v>12451.483872789328</v>
      </c>
      <c r="D288" s="11">
        <v>6429.3504853923914</v>
      </c>
      <c r="E288" s="10">
        <v>27.377770640071699</v>
      </c>
      <c r="F288" s="10">
        <v>250174.74567488628</v>
      </c>
      <c r="G288" s="10">
        <v>397.8693652840804</v>
      </c>
      <c r="H288" s="10">
        <v>611024.73112531868</v>
      </c>
      <c r="I288" s="11">
        <v>609745.22733279434</v>
      </c>
      <c r="J288" s="10">
        <v>97.851302419620183</v>
      </c>
      <c r="K288" s="11">
        <v>1.2624900725018404</v>
      </c>
      <c r="L288" s="11">
        <v>1.2955931811735653</v>
      </c>
      <c r="M288" s="11">
        <v>75.816172317849222</v>
      </c>
      <c r="N288" s="11" t="s">
        <v>114</v>
      </c>
      <c r="O288" s="10">
        <v>51.044571603847388</v>
      </c>
      <c r="P288" s="10" t="s">
        <v>114</v>
      </c>
      <c r="Q288" s="11">
        <v>13.545112012448493</v>
      </c>
      <c r="R288" s="11">
        <v>5.0575564148142167</v>
      </c>
      <c r="S288" s="10">
        <v>5.2518596363111749</v>
      </c>
      <c r="T288" s="11">
        <v>235.56140589127435</v>
      </c>
      <c r="U288" s="10">
        <v>222.80893690237806</v>
      </c>
      <c r="V288" s="10" t="s">
        <v>114</v>
      </c>
      <c r="W288" s="10" t="s">
        <v>114</v>
      </c>
      <c r="X288" s="10">
        <v>0.14102528332435363</v>
      </c>
      <c r="Y288" s="11">
        <v>447.33979020785921</v>
      </c>
      <c r="Z288" s="10">
        <v>1.151480628687596</v>
      </c>
      <c r="AA288" s="10">
        <v>0.91349882461077891</v>
      </c>
      <c r="AB288" s="10">
        <v>0.99185351146673928</v>
      </c>
      <c r="AC288" s="10" t="s">
        <v>114</v>
      </c>
      <c r="AD288" s="10" t="s">
        <v>114</v>
      </c>
      <c r="AE288" s="10" t="s">
        <v>114</v>
      </c>
      <c r="AF288" s="10">
        <v>5.0880324189096328E-3</v>
      </c>
      <c r="AG288" s="11">
        <v>7.1598122614331388</v>
      </c>
      <c r="AH288" s="11">
        <v>0.93219393185442911</v>
      </c>
      <c r="AI288" s="11">
        <v>1.9530012870194837</v>
      </c>
      <c r="AJ288" s="11">
        <v>0.22461123625714211</v>
      </c>
      <c r="AK288" s="11">
        <v>0.92624059031578876</v>
      </c>
      <c r="AL288" s="11">
        <v>0.18152123950682053</v>
      </c>
      <c r="AM288" s="11">
        <v>4.8563193266267332E-2</v>
      </c>
      <c r="AN288" s="11">
        <v>0.21011808810016397</v>
      </c>
      <c r="AO288" s="11">
        <v>3.3689527157529889E-2</v>
      </c>
      <c r="AP288" s="11">
        <v>0.20369693661773178</v>
      </c>
      <c r="AQ288" s="11">
        <v>4.2937087291543594E-2</v>
      </c>
      <c r="AR288" s="11">
        <v>0.11367781057930464</v>
      </c>
      <c r="AS288" s="11">
        <v>1.6078633681153649E-2</v>
      </c>
      <c r="AT288" s="11">
        <v>9.7723371637411571E-2</v>
      </c>
      <c r="AU288" s="11">
        <v>1.4054909195638652E-2</v>
      </c>
      <c r="AV288" s="10">
        <v>0.74471864412718991</v>
      </c>
      <c r="AW288" s="10">
        <v>14.252153992931774</v>
      </c>
      <c r="AX288" s="10" t="s">
        <v>114</v>
      </c>
      <c r="AY288" s="10" t="s">
        <v>114</v>
      </c>
      <c r="AZ288" s="10">
        <v>1.5680199011439331</v>
      </c>
      <c r="BA288" s="10">
        <v>1.392397067858407</v>
      </c>
      <c r="BB288" s="11">
        <v>1.4593499097424836</v>
      </c>
      <c r="BC288" s="11">
        <v>0.60567531367598149</v>
      </c>
      <c r="BD288" s="11">
        <v>2.2831478654125283</v>
      </c>
    </row>
    <row r="289" spans="1:56" x14ac:dyDescent="0.3">
      <c r="A289" s="12" t="s">
        <v>372</v>
      </c>
      <c r="B289" s="13" t="s">
        <v>64</v>
      </c>
      <c r="C289" s="10">
        <v>13196.84263649188</v>
      </c>
      <c r="D289" s="11">
        <v>5634.3778031301863</v>
      </c>
      <c r="E289" s="10">
        <v>57.132403326607225</v>
      </c>
      <c r="F289" s="10">
        <v>226877.49997122449</v>
      </c>
      <c r="G289" s="10">
        <v>282.40331738893491</v>
      </c>
      <c r="H289" s="10">
        <v>548641.80308312166</v>
      </c>
      <c r="I289" s="11">
        <v>549378.95552217588</v>
      </c>
      <c r="J289" s="10">
        <v>296.82453310157535</v>
      </c>
      <c r="K289" s="11">
        <v>2.7510189072042968</v>
      </c>
      <c r="L289" s="11">
        <v>1.934413738676082</v>
      </c>
      <c r="M289" s="11">
        <v>40.32355681506148</v>
      </c>
      <c r="N289" s="11">
        <v>357.80380128586137</v>
      </c>
      <c r="O289" s="10">
        <v>365.89742004042512</v>
      </c>
      <c r="P289" s="10" t="s">
        <v>114</v>
      </c>
      <c r="Q289" s="11">
        <v>4.2164858884515297</v>
      </c>
      <c r="R289" s="11">
        <v>4.6618981615029877</v>
      </c>
      <c r="S289" s="10">
        <v>4.4434515421574003</v>
      </c>
      <c r="T289" s="11">
        <v>202.02318745529195</v>
      </c>
      <c r="U289" s="10">
        <v>192.92744630189677</v>
      </c>
      <c r="V289" s="10">
        <v>2.269785557875279</v>
      </c>
      <c r="W289" s="10" t="s">
        <v>114</v>
      </c>
      <c r="X289" s="10">
        <v>0.12741608269990293</v>
      </c>
      <c r="Y289" s="11">
        <v>402.3253300178975</v>
      </c>
      <c r="Z289" s="10">
        <v>1.8304273991127198</v>
      </c>
      <c r="AA289" s="10">
        <v>1.4560838455434075</v>
      </c>
      <c r="AB289" s="10">
        <v>1.4037586348695343</v>
      </c>
      <c r="AC289" s="10" t="s">
        <v>114</v>
      </c>
      <c r="AD289" s="10" t="s">
        <v>114</v>
      </c>
      <c r="AE289" s="10" t="s">
        <v>114</v>
      </c>
      <c r="AF289" s="10">
        <v>5.4542102452960952E-3</v>
      </c>
      <c r="AG289" s="11">
        <v>5.649902540679606</v>
      </c>
      <c r="AH289" s="11">
        <v>0.67549403479917847</v>
      </c>
      <c r="AI289" s="11">
        <v>1.5382393667079686</v>
      </c>
      <c r="AJ289" s="11">
        <v>0.17246732134710452</v>
      </c>
      <c r="AK289" s="11">
        <v>0.72151135476228612</v>
      </c>
      <c r="AL289" s="11">
        <v>0.14539445790366273</v>
      </c>
      <c r="AM289" s="11">
        <v>3.7125886452801155E-2</v>
      </c>
      <c r="AN289" s="11">
        <v>0.15925724680368394</v>
      </c>
      <c r="AO289" s="11">
        <v>2.4206040345508804E-2</v>
      </c>
      <c r="AP289" s="11">
        <v>0.15572369490404686</v>
      </c>
      <c r="AQ289" s="11">
        <v>2.6712665683152323E-2</v>
      </c>
      <c r="AR289" s="11">
        <v>0.10160532244114757</v>
      </c>
      <c r="AS289" s="11">
        <v>1.0921188523460267E-2</v>
      </c>
      <c r="AT289" s="11">
        <v>5.8529317279203179E-2</v>
      </c>
      <c r="AU289" s="11">
        <v>1.1321333315898912E-2</v>
      </c>
      <c r="AV289" s="10">
        <v>0.79087727587076395</v>
      </c>
      <c r="AW289" s="10">
        <v>15.957480622929017</v>
      </c>
      <c r="AX289" s="10">
        <v>3.3343179870178926E-3</v>
      </c>
      <c r="AY289" s="10" t="s">
        <v>114</v>
      </c>
      <c r="AZ289" s="10">
        <v>1.8429382960285474</v>
      </c>
      <c r="BA289" s="10">
        <v>1.6561566469596369</v>
      </c>
      <c r="BB289" s="11">
        <v>1.7179063779441266</v>
      </c>
      <c r="BC289" s="11">
        <v>0.5143593193527316</v>
      </c>
      <c r="BD289" s="11">
        <v>3.6804188297550269</v>
      </c>
    </row>
    <row r="290" spans="1:56" x14ac:dyDescent="0.3">
      <c r="A290" s="12" t="s">
        <v>373</v>
      </c>
      <c r="B290" s="13" t="s">
        <v>64</v>
      </c>
      <c r="C290" s="10">
        <v>15418.828440237503</v>
      </c>
      <c r="D290" s="11">
        <v>5981.1843821221619</v>
      </c>
      <c r="E290" s="10">
        <v>39.851803150643676</v>
      </c>
      <c r="F290" s="10">
        <v>243558.91215402493</v>
      </c>
      <c r="G290" s="10">
        <v>322.83401665982041</v>
      </c>
      <c r="H290" s="10">
        <v>624032.54990312771</v>
      </c>
      <c r="I290" s="11">
        <v>632978.96530380892</v>
      </c>
      <c r="J290" s="10">
        <v>21.105489515257588</v>
      </c>
      <c r="K290" s="11">
        <v>10.125419515641228</v>
      </c>
      <c r="L290" s="11">
        <v>12.526582685185177</v>
      </c>
      <c r="M290" s="11">
        <v>664.06637790659647</v>
      </c>
      <c r="N290" s="11">
        <v>246.09027706185546</v>
      </c>
      <c r="O290" s="10">
        <v>265.83986013714076</v>
      </c>
      <c r="P290" s="10">
        <v>3.6374270326202001</v>
      </c>
      <c r="Q290" s="11">
        <v>36.927727245635403</v>
      </c>
      <c r="R290" s="11">
        <v>12.237820857990409</v>
      </c>
      <c r="S290" s="10">
        <v>12.140519025330628</v>
      </c>
      <c r="T290" s="11">
        <v>254.75765422341544</v>
      </c>
      <c r="U290" s="10">
        <v>242.68921118443706</v>
      </c>
      <c r="V290" s="10">
        <v>4.3350391686432976</v>
      </c>
      <c r="W290" s="10" t="s">
        <v>114</v>
      </c>
      <c r="X290" s="10" t="s">
        <v>114</v>
      </c>
      <c r="Y290" s="11">
        <v>1634.4337816354275</v>
      </c>
      <c r="Z290" s="10">
        <v>5.2073820130346151</v>
      </c>
      <c r="AA290" s="10">
        <v>1.6079122087649618</v>
      </c>
      <c r="AB290" s="10">
        <v>1.5889383080501793</v>
      </c>
      <c r="AC290" s="10">
        <v>4.8414061721059241E-2</v>
      </c>
      <c r="AD290" s="10" t="s">
        <v>114</v>
      </c>
      <c r="AE290" s="10">
        <v>0.63346003119664218</v>
      </c>
      <c r="AF290" s="10">
        <v>3.1284879341717605E-3</v>
      </c>
      <c r="AG290" s="11">
        <v>49.942886230845801</v>
      </c>
      <c r="AH290" s="11">
        <v>0.37564257791411143</v>
      </c>
      <c r="AI290" s="11">
        <v>0.75102503192485326</v>
      </c>
      <c r="AJ290" s="11">
        <v>9.4972896510552712E-2</v>
      </c>
      <c r="AK290" s="11">
        <v>0.39216328521067539</v>
      </c>
      <c r="AL290" s="11">
        <v>7.3462195422462018E-2</v>
      </c>
      <c r="AM290" s="11">
        <v>2.4415767220013637E-2</v>
      </c>
      <c r="AN290" s="11">
        <v>9.3384007841524119E-2</v>
      </c>
      <c r="AO290" s="11">
        <v>1.1871080753100975E-2</v>
      </c>
      <c r="AP290" s="11">
        <v>7.4633607172962302E-2</v>
      </c>
      <c r="AQ290" s="11">
        <v>1.6593511625718038E-2</v>
      </c>
      <c r="AR290" s="11">
        <v>5.1134256947986401E-2</v>
      </c>
      <c r="AS290" s="11">
        <v>6.5619990685790884E-3</v>
      </c>
      <c r="AT290" s="11">
        <v>3.9188436516487707E-2</v>
      </c>
      <c r="AU290" s="11">
        <v>4.2639404093693734E-3</v>
      </c>
      <c r="AV290" s="10">
        <v>1.6944041156036245</v>
      </c>
      <c r="AW290" s="10">
        <v>13.921661327562179</v>
      </c>
      <c r="AX290" s="10" t="s">
        <v>114</v>
      </c>
      <c r="AY290" s="10" t="s">
        <v>114</v>
      </c>
      <c r="AZ290" s="10">
        <v>9.9609353108076384</v>
      </c>
      <c r="BA290" s="10">
        <v>9.0566454120286171</v>
      </c>
      <c r="BB290" s="11">
        <v>9.4578111608557371</v>
      </c>
      <c r="BC290" s="11">
        <v>0.48866922234502258</v>
      </c>
      <c r="BD290" s="11">
        <v>30.274068963620653</v>
      </c>
    </row>
    <row r="291" spans="1:56" x14ac:dyDescent="0.3">
      <c r="A291" s="12" t="s">
        <v>374</v>
      </c>
      <c r="B291" s="13" t="s">
        <v>64</v>
      </c>
      <c r="C291" s="10">
        <v>11280.213555841636</v>
      </c>
      <c r="D291" s="11">
        <v>4748.9898718669983</v>
      </c>
      <c r="E291" s="10">
        <v>31.04386010551055</v>
      </c>
      <c r="F291" s="10">
        <v>217906.52410455095</v>
      </c>
      <c r="G291" s="10">
        <v>353.13244114077514</v>
      </c>
      <c r="H291" s="10">
        <v>529488.68317304517</v>
      </c>
      <c r="I291" s="11">
        <v>534782.76565432851</v>
      </c>
      <c r="J291" s="10">
        <v>93.013670947560783</v>
      </c>
      <c r="K291" s="11">
        <v>2.2781132288897639</v>
      </c>
      <c r="L291" s="11">
        <v>1.7208868697913307</v>
      </c>
      <c r="M291" s="11">
        <v>192.31253940386557</v>
      </c>
      <c r="N291" s="11">
        <v>190.19745274709857</v>
      </c>
      <c r="O291" s="10">
        <v>198.70438242092357</v>
      </c>
      <c r="P291" s="10">
        <v>1.7519302234596956</v>
      </c>
      <c r="Q291" s="11">
        <v>89.022073159188281</v>
      </c>
      <c r="R291" s="11">
        <v>4.1152354912732845</v>
      </c>
      <c r="S291" s="10">
        <v>4.2937748260435402</v>
      </c>
      <c r="T291" s="11">
        <v>323.41169299747509</v>
      </c>
      <c r="U291" s="10">
        <v>310.07481379323275</v>
      </c>
      <c r="V291" s="10">
        <v>1.375131162254567</v>
      </c>
      <c r="W291" s="10" t="s">
        <v>114</v>
      </c>
      <c r="X291" s="10">
        <v>0.12978948927084596</v>
      </c>
      <c r="Y291" s="11">
        <v>520.18691029132572</v>
      </c>
      <c r="Z291" s="10">
        <v>1.4641403062017817</v>
      </c>
      <c r="AA291" s="10">
        <v>0.4936401756278852</v>
      </c>
      <c r="AB291" s="10">
        <v>0.51259976336973734</v>
      </c>
      <c r="AC291" s="10" t="s">
        <v>114</v>
      </c>
      <c r="AD291" s="10" t="s">
        <v>114</v>
      </c>
      <c r="AE291" s="10" t="s">
        <v>114</v>
      </c>
      <c r="AF291" s="10">
        <v>5.2162114879473016E-3</v>
      </c>
      <c r="AG291" s="11">
        <v>11.088580058355076</v>
      </c>
      <c r="AH291" s="11">
        <v>0.58930253137193922</v>
      </c>
      <c r="AI291" s="11">
        <v>1.1332883802639817</v>
      </c>
      <c r="AJ291" s="11">
        <v>0.13999829315667792</v>
      </c>
      <c r="AK291" s="11">
        <v>0.65080617710359412</v>
      </c>
      <c r="AL291" s="11">
        <v>0.14346538712438903</v>
      </c>
      <c r="AM291" s="11">
        <v>2.833820772315216E-2</v>
      </c>
      <c r="AN291" s="11">
        <v>0.10988573521644757</v>
      </c>
      <c r="AO291" s="11">
        <v>1.9255146372588142E-2</v>
      </c>
      <c r="AP291" s="11">
        <v>0.12540750779230789</v>
      </c>
      <c r="AQ291" s="11">
        <v>2.4690782276193538E-2</v>
      </c>
      <c r="AR291" s="11">
        <v>7.1569678338107012E-2</v>
      </c>
      <c r="AS291" s="11">
        <v>8.9663893574583892E-3</v>
      </c>
      <c r="AT291" s="11">
        <v>4.9609049227552764E-2</v>
      </c>
      <c r="AU291" s="11">
        <v>7.9907493890150217E-3</v>
      </c>
      <c r="AV291" s="10">
        <v>0.59716154559689172</v>
      </c>
      <c r="AW291" s="10">
        <v>15.897706745088495</v>
      </c>
      <c r="AX291" s="10" t="s">
        <v>114</v>
      </c>
      <c r="AY291" s="10" t="s">
        <v>114</v>
      </c>
      <c r="AZ291" s="10">
        <v>3.2529556543019877</v>
      </c>
      <c r="BA291" s="10">
        <v>3.0209373972416218</v>
      </c>
      <c r="BB291" s="11">
        <v>3.1070351217678853</v>
      </c>
      <c r="BC291" s="11">
        <v>0.29080347620466218</v>
      </c>
      <c r="BD291" s="11">
        <v>6.6250584680934663</v>
      </c>
    </row>
    <row r="292" spans="1:56" x14ac:dyDescent="0.3">
      <c r="A292" s="12" t="s">
        <v>375</v>
      </c>
      <c r="B292" s="13" t="s">
        <v>64</v>
      </c>
      <c r="C292" s="10">
        <v>16334.961409957072</v>
      </c>
      <c r="D292" s="11">
        <v>6325.8908003710367</v>
      </c>
      <c r="E292" s="10">
        <v>52.467948487326872</v>
      </c>
      <c r="F292" s="10">
        <v>275674.70064437942</v>
      </c>
      <c r="G292" s="10">
        <v>440.74178471216374</v>
      </c>
      <c r="H292" s="10">
        <v>689314.01986798213</v>
      </c>
      <c r="I292" s="11">
        <v>695552.17504525685</v>
      </c>
      <c r="J292" s="10">
        <v>499.24682332121694</v>
      </c>
      <c r="K292" s="11">
        <v>5.3234601286575929</v>
      </c>
      <c r="L292" s="11">
        <v>3.5209090088978736</v>
      </c>
      <c r="M292" s="11">
        <v>193.54916361356666</v>
      </c>
      <c r="N292" s="11">
        <v>113.82909085877971</v>
      </c>
      <c r="O292" s="10">
        <v>127.09205542067414</v>
      </c>
      <c r="P292" s="10">
        <v>0.6169549422997157</v>
      </c>
      <c r="Q292" s="11">
        <v>44.295720032020775</v>
      </c>
      <c r="R292" s="11">
        <v>13.638267916108601</v>
      </c>
      <c r="S292" s="10">
        <v>13.950847755581764</v>
      </c>
      <c r="T292" s="11">
        <v>281.2031405257552</v>
      </c>
      <c r="U292" s="10">
        <v>265.50497022919757</v>
      </c>
      <c r="V292" s="10">
        <v>1.6274451380024166</v>
      </c>
      <c r="W292" s="10" t="s">
        <v>114</v>
      </c>
      <c r="X292" s="10">
        <v>0.13911838795007916</v>
      </c>
      <c r="Y292" s="11">
        <v>1103.629749258746</v>
      </c>
      <c r="Z292" s="10">
        <v>2.598791891261806</v>
      </c>
      <c r="AA292" s="10">
        <v>3.2789159532407206</v>
      </c>
      <c r="AB292" s="10">
        <v>3.3339141217817443</v>
      </c>
      <c r="AC292" s="10" t="s">
        <v>114</v>
      </c>
      <c r="AD292" s="10" t="s">
        <v>114</v>
      </c>
      <c r="AE292" s="10">
        <v>0.37399164882039265</v>
      </c>
      <c r="AF292" s="10">
        <v>4.9160377876482008E-3</v>
      </c>
      <c r="AG292" s="11">
        <v>18.914387937578521</v>
      </c>
      <c r="AH292" s="11">
        <v>1.2830420671754874</v>
      </c>
      <c r="AI292" s="11">
        <v>2.594947994172585</v>
      </c>
      <c r="AJ292" s="11">
        <v>0.28562572968757743</v>
      </c>
      <c r="AK292" s="11">
        <v>1.2404077327594603</v>
      </c>
      <c r="AL292" s="11">
        <v>0.23292847694519983</v>
      </c>
      <c r="AM292" s="11">
        <v>5.8151524776034628E-2</v>
      </c>
      <c r="AN292" s="11">
        <v>0.28912483934561972</v>
      </c>
      <c r="AO292" s="11">
        <v>4.1468910593365854E-2</v>
      </c>
      <c r="AP292" s="11">
        <v>0.26443291559269</v>
      </c>
      <c r="AQ292" s="11">
        <v>6.1451015773183557E-2</v>
      </c>
      <c r="AR292" s="11">
        <v>0.17174933943248208</v>
      </c>
      <c r="AS292" s="11">
        <v>2.0669120960370935E-2</v>
      </c>
      <c r="AT292" s="11">
        <v>0.13947138992394381</v>
      </c>
      <c r="AU292" s="11">
        <v>1.9965101362772301E-2</v>
      </c>
      <c r="AV292" s="10">
        <v>0.79441577388732798</v>
      </c>
      <c r="AW292" s="10">
        <v>14.172178769258302</v>
      </c>
      <c r="AX292" s="10">
        <v>5.3136198626652191E-3</v>
      </c>
      <c r="AY292" s="10" t="s">
        <v>114</v>
      </c>
      <c r="AZ292" s="10">
        <v>10.825189501938823</v>
      </c>
      <c r="BA292" s="10">
        <v>9.8897296257200615</v>
      </c>
      <c r="BB292" s="11">
        <v>10.216296440374427</v>
      </c>
      <c r="BC292" s="11">
        <v>0.3254196934960073</v>
      </c>
      <c r="BD292" s="11">
        <v>17.508738715816861</v>
      </c>
    </row>
    <row r="293" spans="1:56" x14ac:dyDescent="0.3">
      <c r="A293" s="12" t="s">
        <v>376</v>
      </c>
      <c r="B293" s="13" t="s">
        <v>64</v>
      </c>
      <c r="C293" s="10">
        <v>17242.026082051187</v>
      </c>
      <c r="D293" s="11">
        <v>9289.8251971364498</v>
      </c>
      <c r="E293" s="10">
        <v>180.80160997140982</v>
      </c>
      <c r="F293" s="10">
        <v>305167.24517556216</v>
      </c>
      <c r="G293" s="10">
        <v>324.81618924876881</v>
      </c>
      <c r="H293" s="10">
        <v>758035.71616855462</v>
      </c>
      <c r="I293" s="11">
        <v>758139.09319929779</v>
      </c>
      <c r="J293" s="10">
        <v>214.51017753979221</v>
      </c>
      <c r="K293" s="11">
        <v>4.4593111424937275</v>
      </c>
      <c r="L293" s="11">
        <v>3.5019065330476065</v>
      </c>
      <c r="M293" s="11">
        <v>99.12681299372133</v>
      </c>
      <c r="N293" s="11">
        <v>372.65694233770256</v>
      </c>
      <c r="O293" s="10">
        <v>392.77188852075489</v>
      </c>
      <c r="P293" s="10">
        <v>0.52294364111874969</v>
      </c>
      <c r="Q293" s="11">
        <v>230.37436317528116</v>
      </c>
      <c r="R293" s="11">
        <v>11.381144234144893</v>
      </c>
      <c r="S293" s="10">
        <v>11.344496022861737</v>
      </c>
      <c r="T293" s="11">
        <v>521.15063616824057</v>
      </c>
      <c r="U293" s="10">
        <v>493.70647651389271</v>
      </c>
      <c r="V293" s="10">
        <v>2.3530380775020308</v>
      </c>
      <c r="W293" s="10" t="s">
        <v>114</v>
      </c>
      <c r="X293" s="10">
        <v>0.12929547513929257</v>
      </c>
      <c r="Y293" s="11">
        <v>743.89145314472739</v>
      </c>
      <c r="Z293" s="10">
        <v>3.4582594286161039</v>
      </c>
      <c r="AA293" s="10">
        <v>1.069416830196702</v>
      </c>
      <c r="AB293" s="10">
        <v>1.2495987257353585</v>
      </c>
      <c r="AC293" s="10" t="s">
        <v>114</v>
      </c>
      <c r="AD293" s="10" t="s">
        <v>114</v>
      </c>
      <c r="AE293" s="10">
        <v>0.23687244188620377</v>
      </c>
      <c r="AF293" s="10">
        <v>5.179172069641697E-3</v>
      </c>
      <c r="AG293" s="11">
        <v>14.558427972690369</v>
      </c>
      <c r="AH293" s="11">
        <v>0.97816888835965288</v>
      </c>
      <c r="AI293" s="11">
        <v>2.0261769405664785</v>
      </c>
      <c r="AJ293" s="11">
        <v>0.2233737579902976</v>
      </c>
      <c r="AK293" s="11">
        <v>0.98732156661086312</v>
      </c>
      <c r="AL293" s="11">
        <v>0.18658781037291378</v>
      </c>
      <c r="AM293" s="11">
        <v>5.3261329381715919E-2</v>
      </c>
      <c r="AN293" s="11">
        <v>0.19968176860225237</v>
      </c>
      <c r="AO293" s="11">
        <v>2.9753826396511841E-2</v>
      </c>
      <c r="AP293" s="11">
        <v>0.20184216351169179</v>
      </c>
      <c r="AQ293" s="11">
        <v>4.0222196782250537E-2</v>
      </c>
      <c r="AR293" s="11">
        <v>0.11591095134899392</v>
      </c>
      <c r="AS293" s="11">
        <v>1.5683595076299059E-2</v>
      </c>
      <c r="AT293" s="11">
        <v>9.9398387285507539E-2</v>
      </c>
      <c r="AU293" s="11">
        <v>1.2480361748579452E-2</v>
      </c>
      <c r="AV293" s="10">
        <v>1.402949749953043</v>
      </c>
      <c r="AW293" s="10">
        <v>15.802185535005105</v>
      </c>
      <c r="AX293" s="10">
        <v>7.8943680888452026E-3</v>
      </c>
      <c r="AY293" s="10" t="s">
        <v>114</v>
      </c>
      <c r="AZ293" s="10">
        <v>208.24161986911182</v>
      </c>
      <c r="BA293" s="10">
        <v>191.24422040656401</v>
      </c>
      <c r="BB293" s="11">
        <v>197.56628619366919</v>
      </c>
      <c r="BC293" s="11">
        <v>1.0264891640402227</v>
      </c>
      <c r="BD293" s="11">
        <v>10.092650373402172</v>
      </c>
    </row>
    <row r="294" spans="1:56" x14ac:dyDescent="0.3">
      <c r="A294" s="12" t="s">
        <v>377</v>
      </c>
      <c r="B294" s="13" t="s">
        <v>64</v>
      </c>
      <c r="C294" s="10">
        <v>10445.466989175089</v>
      </c>
      <c r="D294" s="11">
        <v>5854.4644612652519</v>
      </c>
      <c r="E294" s="10">
        <v>29.822719005810423</v>
      </c>
      <c r="F294" s="10">
        <v>270130.03465656907</v>
      </c>
      <c r="G294" s="10">
        <v>237.53170392299415</v>
      </c>
      <c r="H294" s="10">
        <v>654048.90414237184</v>
      </c>
      <c r="I294" s="11">
        <v>653955.88064302632</v>
      </c>
      <c r="J294" s="10">
        <v>90.716195844982764</v>
      </c>
      <c r="K294" s="11">
        <v>0.64460593200663852</v>
      </c>
      <c r="L294" s="11">
        <v>1.3320079589637914</v>
      </c>
      <c r="M294" s="11">
        <v>11.349458852828182</v>
      </c>
      <c r="N294" s="11">
        <v>64.064995516178897</v>
      </c>
      <c r="O294" s="10">
        <v>81.495946672822541</v>
      </c>
      <c r="P294" s="10" t="s">
        <v>114</v>
      </c>
      <c r="Q294" s="11">
        <v>88.686545144693255</v>
      </c>
      <c r="R294" s="11">
        <v>0.69213780797436208</v>
      </c>
      <c r="S294" s="10">
        <v>0.71622918306080752</v>
      </c>
      <c r="T294" s="11">
        <v>341.69784975635912</v>
      </c>
      <c r="U294" s="10">
        <v>324.69182906681431</v>
      </c>
      <c r="V294" s="10" t="s">
        <v>114</v>
      </c>
      <c r="W294" s="10" t="s">
        <v>114</v>
      </c>
      <c r="X294" s="10">
        <v>0.11872999486693366</v>
      </c>
      <c r="Y294" s="11">
        <v>325.94543762136595</v>
      </c>
      <c r="Z294" s="10">
        <v>1.0037164140911747</v>
      </c>
      <c r="AA294" s="10">
        <v>0.33350025398159849</v>
      </c>
      <c r="AB294" s="10">
        <v>0.42751911135139181</v>
      </c>
      <c r="AC294" s="10" t="s">
        <v>114</v>
      </c>
      <c r="AD294" s="10" t="s">
        <v>114</v>
      </c>
      <c r="AE294" s="10" t="s">
        <v>114</v>
      </c>
      <c r="AF294" s="10">
        <v>3.3391714550460136E-3</v>
      </c>
      <c r="AG294" s="11">
        <v>4.7588556880324369</v>
      </c>
      <c r="AH294" s="11">
        <v>0.78174299877190467</v>
      </c>
      <c r="AI294" s="11">
        <v>1.5999554080023133</v>
      </c>
      <c r="AJ294" s="11">
        <v>0.17285344334353372</v>
      </c>
      <c r="AK294" s="11">
        <v>0.761426089576827</v>
      </c>
      <c r="AL294" s="11">
        <v>0.14628723731211116</v>
      </c>
      <c r="AM294" s="11">
        <v>3.650699192281788E-2</v>
      </c>
      <c r="AN294" s="11">
        <v>0.17648002165931284</v>
      </c>
      <c r="AO294" s="11">
        <v>2.817084452052452E-2</v>
      </c>
      <c r="AP294" s="11">
        <v>0.15722934956145809</v>
      </c>
      <c r="AQ294" s="11">
        <v>3.6053833430430164E-2</v>
      </c>
      <c r="AR294" s="11">
        <v>9.7323845341201129E-2</v>
      </c>
      <c r="AS294" s="11">
        <v>1.4430467074913619E-2</v>
      </c>
      <c r="AT294" s="11">
        <v>8.1327343155991438E-2</v>
      </c>
      <c r="AU294" s="11">
        <v>9.6340663173258012E-3</v>
      </c>
      <c r="AV294" s="10">
        <v>0.50736657171630972</v>
      </c>
      <c r="AW294" s="10">
        <v>14.250923236378453</v>
      </c>
      <c r="AX294" s="10" t="s">
        <v>114</v>
      </c>
      <c r="AY294" s="10" t="s">
        <v>114</v>
      </c>
      <c r="AZ294" s="10">
        <v>2.3082579610152401</v>
      </c>
      <c r="BA294" s="10">
        <v>2.1057944351147722</v>
      </c>
      <c r="BB294" s="11">
        <v>2.1837948785359322</v>
      </c>
      <c r="BC294" s="11">
        <v>0.45911187258292196</v>
      </c>
      <c r="BD294" s="11">
        <v>0.72734006672791995</v>
      </c>
    </row>
    <row r="295" spans="1:56" x14ac:dyDescent="0.3">
      <c r="A295" s="12" t="s">
        <v>378</v>
      </c>
      <c r="B295" s="13" t="s">
        <v>64</v>
      </c>
      <c r="C295" s="10">
        <v>12049.427976264762</v>
      </c>
      <c r="D295" s="11">
        <v>7953.55263032944</v>
      </c>
      <c r="E295" s="10">
        <v>87.360467798666363</v>
      </c>
      <c r="F295" s="10">
        <v>280640.70863971172</v>
      </c>
      <c r="G295" s="10">
        <v>267.81045895808916</v>
      </c>
      <c r="H295" s="10">
        <v>719180.26548915694</v>
      </c>
      <c r="I295" s="11">
        <v>727610.14692294097</v>
      </c>
      <c r="J295" s="10">
        <v>4.1119720967710345</v>
      </c>
      <c r="K295" s="11">
        <v>7.0342684530249517</v>
      </c>
      <c r="L295" s="11">
        <v>6.1836560089209236</v>
      </c>
      <c r="M295" s="11">
        <v>587.99446916310706</v>
      </c>
      <c r="N295" s="11">
        <v>131.82336407532279</v>
      </c>
      <c r="O295" s="10">
        <v>148.45859305038857</v>
      </c>
      <c r="P295" s="10">
        <v>2.6569527716454222</v>
      </c>
      <c r="Q295" s="11">
        <v>16.559990995149082</v>
      </c>
      <c r="R295" s="11">
        <v>30.155323123505624</v>
      </c>
      <c r="S295" s="10">
        <v>30.254093329521361</v>
      </c>
      <c r="T295" s="11">
        <v>410.76335253610085</v>
      </c>
      <c r="U295" s="10">
        <v>394.00482203540474</v>
      </c>
      <c r="V295" s="10">
        <v>4.5541646701287037</v>
      </c>
      <c r="W295" s="10" t="s">
        <v>114</v>
      </c>
      <c r="X295" s="10">
        <v>0.21360471873898043</v>
      </c>
      <c r="Y295" s="11">
        <v>1693.9493494802634</v>
      </c>
      <c r="Z295" s="10">
        <v>2.7663767728228046</v>
      </c>
      <c r="AA295" s="10">
        <v>0.68094474421341411</v>
      </c>
      <c r="AB295" s="10">
        <v>0.68354611955027855</v>
      </c>
      <c r="AC295" s="10" t="s">
        <v>114</v>
      </c>
      <c r="AD295" s="10" t="s">
        <v>114</v>
      </c>
      <c r="AE295" s="10">
        <v>0.46600652180865437</v>
      </c>
      <c r="AF295" s="10">
        <v>6.7597297256616782E-3</v>
      </c>
      <c r="AG295" s="11">
        <v>40.678494870048645</v>
      </c>
      <c r="AH295" s="11">
        <v>0.98968794339422539</v>
      </c>
      <c r="AI295" s="11">
        <v>1.853306775288589</v>
      </c>
      <c r="AJ295" s="11">
        <v>0.23921794581982497</v>
      </c>
      <c r="AK295" s="11">
        <v>1.0330777598087668</v>
      </c>
      <c r="AL295" s="11">
        <v>0.19861308277427445</v>
      </c>
      <c r="AM295" s="11">
        <v>5.1484525506497465E-2</v>
      </c>
      <c r="AN295" s="11">
        <v>0.21990180524774286</v>
      </c>
      <c r="AO295" s="11">
        <v>3.5985170317987612E-2</v>
      </c>
      <c r="AP295" s="11">
        <v>0.21008345957970467</v>
      </c>
      <c r="AQ295" s="11">
        <v>4.5609276622162583E-2</v>
      </c>
      <c r="AR295" s="11">
        <v>0.12305145477518814</v>
      </c>
      <c r="AS295" s="11">
        <v>1.6599480802309816E-2</v>
      </c>
      <c r="AT295" s="11">
        <v>9.615172110119137E-2</v>
      </c>
      <c r="AU295" s="11">
        <v>1.0876269926145883E-2</v>
      </c>
      <c r="AV295" s="10">
        <v>1.3032522356253584</v>
      </c>
      <c r="AW295" s="10">
        <v>14.826206610258444</v>
      </c>
      <c r="AX295" s="10" t="s">
        <v>114</v>
      </c>
      <c r="AY295" s="10" t="s">
        <v>114</v>
      </c>
      <c r="AZ295" s="10">
        <v>4.7268734639907679</v>
      </c>
      <c r="BA295" s="10">
        <v>4.3788799558522324</v>
      </c>
      <c r="BB295" s="11">
        <v>4.4754306527314549</v>
      </c>
      <c r="BC295" s="11">
        <v>0.51117183415876832</v>
      </c>
      <c r="BD295" s="11">
        <v>19.060662980866468</v>
      </c>
    </row>
    <row r="296" spans="1:56" x14ac:dyDescent="0.3">
      <c r="A296" s="12" t="s">
        <v>379</v>
      </c>
      <c r="B296" s="13" t="s">
        <v>64</v>
      </c>
      <c r="C296" s="10">
        <v>10929.034027666406</v>
      </c>
      <c r="D296" s="11">
        <v>6431.4489600802817</v>
      </c>
      <c r="E296" s="10">
        <v>26.350267030113759</v>
      </c>
      <c r="F296" s="10">
        <v>300194.00822391768</v>
      </c>
      <c r="G296" s="10">
        <v>238.81333507425722</v>
      </c>
      <c r="H296" s="10">
        <v>725163.08564815891</v>
      </c>
      <c r="I296" s="11">
        <v>727804.98178619263</v>
      </c>
      <c r="J296" s="10">
        <v>40.639193853131935</v>
      </c>
      <c r="K296" s="11">
        <v>0.92665501753602997</v>
      </c>
      <c r="L296" s="11">
        <v>1.9517783938726883</v>
      </c>
      <c r="M296" s="11">
        <v>16.307945584702594</v>
      </c>
      <c r="N296" s="11" t="s">
        <v>114</v>
      </c>
      <c r="O296" s="10">
        <v>43.694659724336944</v>
      </c>
      <c r="P296" s="10" t="s">
        <v>114</v>
      </c>
      <c r="Q296" s="11">
        <v>27.843462329361802</v>
      </c>
      <c r="R296" s="11">
        <v>1.1607620019447766</v>
      </c>
      <c r="S296" s="10">
        <v>1.2368877509405958</v>
      </c>
      <c r="T296" s="11">
        <v>984.76850909800453</v>
      </c>
      <c r="U296" s="10">
        <v>925.14358780603698</v>
      </c>
      <c r="V296" s="10" t="s">
        <v>114</v>
      </c>
      <c r="W296" s="10" t="s">
        <v>114</v>
      </c>
      <c r="X296" s="10">
        <v>0.11508294335969146</v>
      </c>
      <c r="Y296" s="11">
        <v>396.89555214270314</v>
      </c>
      <c r="Z296" s="10">
        <v>0.77709879956551009</v>
      </c>
      <c r="AA296" s="10">
        <v>0.94310415566682504</v>
      </c>
      <c r="AB296" s="10">
        <v>0.86560587290898849</v>
      </c>
      <c r="AC296" s="10" t="s">
        <v>114</v>
      </c>
      <c r="AD296" s="10" t="s">
        <v>114</v>
      </c>
      <c r="AE296" s="10" t="s">
        <v>114</v>
      </c>
      <c r="AF296" s="10">
        <v>3.426317154389992E-3</v>
      </c>
      <c r="AG296" s="11">
        <v>5.8392437773869279</v>
      </c>
      <c r="AH296" s="11">
        <v>1.2327545740779591</v>
      </c>
      <c r="AI296" s="11">
        <v>2.4233029286468382</v>
      </c>
      <c r="AJ296" s="11">
        <v>0.27129972202287095</v>
      </c>
      <c r="AK296" s="11">
        <v>1.2092732222906564</v>
      </c>
      <c r="AL296" s="11">
        <v>0.27182569272643242</v>
      </c>
      <c r="AM296" s="11">
        <v>5.5930859153287625E-2</v>
      </c>
      <c r="AN296" s="11">
        <v>0.27208744534279838</v>
      </c>
      <c r="AO296" s="11">
        <v>4.6375451940073482E-2</v>
      </c>
      <c r="AP296" s="11">
        <v>0.26873739460617613</v>
      </c>
      <c r="AQ296" s="11">
        <v>5.4927899725955173E-2</v>
      </c>
      <c r="AR296" s="11">
        <v>0.15485315909916425</v>
      </c>
      <c r="AS296" s="11">
        <v>2.244895030176771E-2</v>
      </c>
      <c r="AT296" s="11">
        <v>0.12683560592999885</v>
      </c>
      <c r="AU296" s="11">
        <v>1.526201365572794E-2</v>
      </c>
      <c r="AV296" s="10">
        <v>0.42838107536515879</v>
      </c>
      <c r="AW296" s="10">
        <v>14.428617978462972</v>
      </c>
      <c r="AX296" s="10" t="s">
        <v>114</v>
      </c>
      <c r="AY296" s="10" t="s">
        <v>114</v>
      </c>
      <c r="AZ296" s="10">
        <v>4.1262079672042651</v>
      </c>
      <c r="BA296" s="10">
        <v>3.8199729487702965</v>
      </c>
      <c r="BB296" s="11">
        <v>3.9173030670964275</v>
      </c>
      <c r="BC296" s="11">
        <v>0.28087181047060505</v>
      </c>
      <c r="BD296" s="11">
        <v>1.3546654223828711</v>
      </c>
    </row>
    <row r="297" spans="1:56" x14ac:dyDescent="0.3">
      <c r="A297" s="12" t="s">
        <v>380</v>
      </c>
      <c r="B297" s="13" t="s">
        <v>64</v>
      </c>
      <c r="C297" s="10">
        <v>10351.606346899218</v>
      </c>
      <c r="D297" s="11">
        <v>5416.8958635627805</v>
      </c>
      <c r="E297" s="10">
        <v>15.529506378819088</v>
      </c>
      <c r="F297" s="10">
        <v>240643.71020037273</v>
      </c>
      <c r="G297" s="10">
        <v>316.08486791091968</v>
      </c>
      <c r="H297" s="10">
        <v>583552.54598731082</v>
      </c>
      <c r="I297" s="11">
        <v>583908.46372690785</v>
      </c>
      <c r="J297" s="10">
        <v>124.94888130312918</v>
      </c>
      <c r="K297" s="11">
        <v>1.8596594983892973</v>
      </c>
      <c r="L297" s="11">
        <v>1.2310983824325403</v>
      </c>
      <c r="M297" s="11">
        <v>90.413459659407224</v>
      </c>
      <c r="N297" s="11" t="s">
        <v>114</v>
      </c>
      <c r="O297" s="10" t="s">
        <v>114</v>
      </c>
      <c r="P297" s="10" t="s">
        <v>114</v>
      </c>
      <c r="Q297" s="11">
        <v>19.451401811437268</v>
      </c>
      <c r="R297" s="11">
        <v>4.5204648646738148</v>
      </c>
      <c r="S297" s="10">
        <v>4.486285873236036</v>
      </c>
      <c r="T297" s="11">
        <v>225.30498264783964</v>
      </c>
      <c r="U297" s="10">
        <v>212.48676139732163</v>
      </c>
      <c r="V297" s="10" t="s">
        <v>114</v>
      </c>
      <c r="W297" s="10" t="s">
        <v>114</v>
      </c>
      <c r="X297" s="10">
        <v>0.20582542654488561</v>
      </c>
      <c r="Y297" s="11">
        <v>392.99929389335193</v>
      </c>
      <c r="Z297" s="10">
        <v>0.63575453340937238</v>
      </c>
      <c r="AA297" s="10">
        <v>0.3162489341817723</v>
      </c>
      <c r="AB297" s="10">
        <v>0.36062077081015448</v>
      </c>
      <c r="AC297" s="10" t="s">
        <v>114</v>
      </c>
      <c r="AD297" s="10" t="s">
        <v>114</v>
      </c>
      <c r="AE297" s="10" t="s">
        <v>114</v>
      </c>
      <c r="AF297" s="10">
        <v>3.5043641446645024E-3</v>
      </c>
      <c r="AG297" s="11">
        <v>8.5635936822107759</v>
      </c>
      <c r="AH297" s="11">
        <v>0.38702468772485565</v>
      </c>
      <c r="AI297" s="11">
        <v>0.77662314561610124</v>
      </c>
      <c r="AJ297" s="11">
        <v>9.4712424684173097E-2</v>
      </c>
      <c r="AK297" s="11">
        <v>0.41032345298148487</v>
      </c>
      <c r="AL297" s="11">
        <v>9.0645986842431372E-2</v>
      </c>
      <c r="AM297" s="11">
        <v>2.0663167498398992E-2</v>
      </c>
      <c r="AN297" s="11">
        <v>8.5572056927338047E-2</v>
      </c>
      <c r="AO297" s="11">
        <v>1.223237427903524E-2</v>
      </c>
      <c r="AP297" s="11">
        <v>8.2006462593070206E-2</v>
      </c>
      <c r="AQ297" s="11">
        <v>1.9200607854980369E-2</v>
      </c>
      <c r="AR297" s="11">
        <v>5.0929832318253515E-2</v>
      </c>
      <c r="AS297" s="11">
        <v>7.8458254983446215E-3</v>
      </c>
      <c r="AT297" s="11">
        <v>4.2842732314843777E-2</v>
      </c>
      <c r="AU297" s="11">
        <v>5.9322695369456412E-3</v>
      </c>
      <c r="AV297" s="10">
        <v>0.36020617614072992</v>
      </c>
      <c r="AW297" s="10">
        <v>14.514367697446211</v>
      </c>
      <c r="AX297" s="10" t="s">
        <v>114</v>
      </c>
      <c r="AY297" s="10" t="s">
        <v>114</v>
      </c>
      <c r="AZ297" s="10">
        <v>1.4043636166784172</v>
      </c>
      <c r="BA297" s="10">
        <v>1.2634202415759122</v>
      </c>
      <c r="BB297" s="11">
        <v>1.3178264512098266</v>
      </c>
      <c r="BC297" s="11">
        <v>0.17299972924912968</v>
      </c>
      <c r="BD297" s="11">
        <v>3.2192931230036677</v>
      </c>
    </row>
    <row r="298" spans="1:56" x14ac:dyDescent="0.3">
      <c r="A298" s="12" t="s">
        <v>381</v>
      </c>
      <c r="B298" s="13" t="s">
        <v>64</v>
      </c>
      <c r="C298" s="10">
        <v>9756.3075682658982</v>
      </c>
      <c r="D298" s="11">
        <v>6196.2565324436455</v>
      </c>
      <c r="E298" s="10">
        <v>38.28559633842989</v>
      </c>
      <c r="F298" s="10">
        <v>269676.24097481446</v>
      </c>
      <c r="G298" s="10">
        <v>198.43682756536546</v>
      </c>
      <c r="H298" s="10">
        <v>658177.36031839147</v>
      </c>
      <c r="I298" s="11">
        <v>662823.64764157671</v>
      </c>
      <c r="J298" s="10">
        <v>127.9277954835793</v>
      </c>
      <c r="K298" s="11">
        <v>1.5393300621182775</v>
      </c>
      <c r="L298" s="11">
        <v>1.1026239752132523</v>
      </c>
      <c r="M298" s="11">
        <v>20.871524140320894</v>
      </c>
      <c r="N298" s="11">
        <v>104.02175996974998</v>
      </c>
      <c r="O298" s="10">
        <v>117.65114293411831</v>
      </c>
      <c r="P298" s="10" t="s">
        <v>114</v>
      </c>
      <c r="Q298" s="11">
        <v>20.619468440203018</v>
      </c>
      <c r="R298" s="11">
        <v>8.8545954085830818</v>
      </c>
      <c r="S298" s="10">
        <v>8.8197321126112822</v>
      </c>
      <c r="T298" s="11">
        <v>304.95478519738458</v>
      </c>
      <c r="U298" s="10">
        <v>289.09419855180658</v>
      </c>
      <c r="V298" s="10" t="s">
        <v>114</v>
      </c>
      <c r="W298" s="10" t="s">
        <v>114</v>
      </c>
      <c r="X298" s="10" t="s">
        <v>114</v>
      </c>
      <c r="Y298" s="11">
        <v>335.32724509744514</v>
      </c>
      <c r="Z298" s="10">
        <v>0.78752801480448642</v>
      </c>
      <c r="AA298" s="10">
        <v>0.33437344662727203</v>
      </c>
      <c r="AB298" s="10">
        <v>0.38905428163331757</v>
      </c>
      <c r="AC298" s="10" t="s">
        <v>114</v>
      </c>
      <c r="AD298" s="10" t="s">
        <v>114</v>
      </c>
      <c r="AE298" s="10" t="s">
        <v>114</v>
      </c>
      <c r="AF298" s="10">
        <v>5.3331625910860783E-3</v>
      </c>
      <c r="AG298" s="11">
        <v>5.7444200328025294</v>
      </c>
      <c r="AH298" s="11">
        <v>0.69826286913300095</v>
      </c>
      <c r="AI298" s="11">
        <v>1.3899216021763494</v>
      </c>
      <c r="AJ298" s="11">
        <v>0.1799034761219194</v>
      </c>
      <c r="AK298" s="11">
        <v>0.75753376022701924</v>
      </c>
      <c r="AL298" s="11">
        <v>0.14780998727214004</v>
      </c>
      <c r="AM298" s="11">
        <v>3.2190454448981186E-2</v>
      </c>
      <c r="AN298" s="11">
        <v>0.13123961521156244</v>
      </c>
      <c r="AO298" s="11">
        <v>1.8173795557316227E-2</v>
      </c>
      <c r="AP298" s="11">
        <v>0.12914863246748956</v>
      </c>
      <c r="AQ298" s="11">
        <v>2.6938602088661143E-2</v>
      </c>
      <c r="AR298" s="11">
        <v>6.8404738596659742E-2</v>
      </c>
      <c r="AS298" s="11">
        <v>9.765930844504592E-3</v>
      </c>
      <c r="AT298" s="11">
        <v>5.6479652517538309E-2</v>
      </c>
      <c r="AU298" s="11">
        <v>6.3700081951007115E-3</v>
      </c>
      <c r="AV298" s="10">
        <v>0.32491107527179131</v>
      </c>
      <c r="AW298" s="10">
        <v>14.802708592073893</v>
      </c>
      <c r="AX298" s="10" t="s">
        <v>114</v>
      </c>
      <c r="AY298" s="10" t="s">
        <v>114</v>
      </c>
      <c r="AZ298" s="10">
        <v>2.0941260000774764</v>
      </c>
      <c r="BA298" s="10">
        <v>1.9118541037529655</v>
      </c>
      <c r="BB298" s="11">
        <v>1.9786836272450776</v>
      </c>
      <c r="BC298" s="11">
        <v>0.18242783137633301</v>
      </c>
      <c r="BD298" s="11">
        <v>3.2039381704310439</v>
      </c>
    </row>
    <row r="299" spans="1:56" x14ac:dyDescent="0.3">
      <c r="A299" s="12" t="s">
        <v>382</v>
      </c>
      <c r="B299" s="13" t="s">
        <v>64</v>
      </c>
      <c r="C299" s="10">
        <v>15226.317810706751</v>
      </c>
      <c r="D299" s="11">
        <v>6800.0690953922558</v>
      </c>
      <c r="E299" s="10">
        <v>36.125963669545008</v>
      </c>
      <c r="F299" s="10">
        <v>254069.34106279563</v>
      </c>
      <c r="G299" s="10">
        <v>324.88777031515741</v>
      </c>
      <c r="H299" s="10">
        <v>630011.63244855404</v>
      </c>
      <c r="I299" s="11">
        <v>637087.41063685087</v>
      </c>
      <c r="J299" s="10">
        <v>89.362800527807224</v>
      </c>
      <c r="K299" s="11">
        <v>4.1751490557501469</v>
      </c>
      <c r="L299" s="11">
        <v>3.263361138578917</v>
      </c>
      <c r="M299" s="11">
        <v>251.42907917432009</v>
      </c>
      <c r="N299" s="11">
        <v>371.96811140235707</v>
      </c>
      <c r="O299" s="10">
        <v>376.32050686066913</v>
      </c>
      <c r="P299" s="10">
        <v>0.48180237404233689</v>
      </c>
      <c r="Q299" s="11">
        <v>7.6958929690692743</v>
      </c>
      <c r="R299" s="11">
        <v>11.694405675555545</v>
      </c>
      <c r="S299" s="10">
        <v>11.950724507272685</v>
      </c>
      <c r="T299" s="11">
        <v>189.81586196475246</v>
      </c>
      <c r="U299" s="10">
        <v>179.97405545529168</v>
      </c>
      <c r="V299" s="10">
        <v>6.6955186491415404</v>
      </c>
      <c r="W299" s="10" t="s">
        <v>114</v>
      </c>
      <c r="X299" s="10">
        <v>0.16668548574475661</v>
      </c>
      <c r="Y299" s="11">
        <v>865.73014118116294</v>
      </c>
      <c r="Z299" s="10">
        <v>2.3873159772771748</v>
      </c>
      <c r="AA299" s="10">
        <v>8.1620480460348812</v>
      </c>
      <c r="AB299" s="10">
        <v>8.6733365521023753</v>
      </c>
      <c r="AC299" s="10" t="s">
        <v>114</v>
      </c>
      <c r="AD299" s="10" t="s">
        <v>114</v>
      </c>
      <c r="AE299" s="10">
        <v>0.8292195245920142</v>
      </c>
      <c r="AF299" s="10">
        <v>4.905959469143753E-3</v>
      </c>
      <c r="AG299" s="11">
        <v>17.744870540389872</v>
      </c>
      <c r="AH299" s="11">
        <v>0.69902346018211514</v>
      </c>
      <c r="AI299" s="11">
        <v>1.6342157013829619</v>
      </c>
      <c r="AJ299" s="11">
        <v>0.16929485083555765</v>
      </c>
      <c r="AK299" s="11">
        <v>0.74787106411614079</v>
      </c>
      <c r="AL299" s="11">
        <v>0.16880654745090834</v>
      </c>
      <c r="AM299" s="11">
        <v>3.9780933422954211E-2</v>
      </c>
      <c r="AN299" s="11">
        <v>0.14882700647334562</v>
      </c>
      <c r="AO299" s="11">
        <v>2.6299759756149194E-2</v>
      </c>
      <c r="AP299" s="11">
        <v>0.15534881987934504</v>
      </c>
      <c r="AQ299" s="11">
        <v>3.6152602088798697E-2</v>
      </c>
      <c r="AR299" s="11">
        <v>8.635404935436658E-2</v>
      </c>
      <c r="AS299" s="11">
        <v>1.1882065018248029E-2</v>
      </c>
      <c r="AT299" s="11">
        <v>7.4792156213758634E-2</v>
      </c>
      <c r="AU299" s="11">
        <v>1.1445864654501434E-2</v>
      </c>
      <c r="AV299" s="10">
        <v>0.60856493075609186</v>
      </c>
      <c r="AW299" s="10">
        <v>15.226168664553073</v>
      </c>
      <c r="AX299" s="10" t="s">
        <v>114</v>
      </c>
      <c r="AY299" s="10" t="s">
        <v>114</v>
      </c>
      <c r="AZ299" s="10">
        <v>7.2445379594438259</v>
      </c>
      <c r="BA299" s="10">
        <v>6.7391479463589272</v>
      </c>
      <c r="BB299" s="11">
        <v>6.9096364860112809</v>
      </c>
      <c r="BC299" s="11">
        <v>0.16805519448930237</v>
      </c>
      <c r="BD299" s="11">
        <v>17.978004946439853</v>
      </c>
    </row>
    <row r="300" spans="1:56" x14ac:dyDescent="0.3">
      <c r="A300" t="s">
        <v>383</v>
      </c>
      <c r="B300" t="s">
        <v>384</v>
      </c>
      <c r="C300" s="10">
        <v>8479.6772656468547</v>
      </c>
      <c r="D300" s="10">
        <v>3804.5350614528293</v>
      </c>
      <c r="E300" s="10">
        <v>52.284216776652563</v>
      </c>
      <c r="F300" s="10">
        <v>176962.12827013945</v>
      </c>
      <c r="G300" s="10">
        <v>288.82380512308174</v>
      </c>
      <c r="H300" s="10">
        <v>405954.04708513105</v>
      </c>
      <c r="I300" s="10">
        <v>402031.81795602647</v>
      </c>
      <c r="J300" s="10">
        <v>7.4612823868295255</v>
      </c>
      <c r="K300" s="10">
        <v>1.1967379184085931</v>
      </c>
      <c r="L300" s="10">
        <v>1.6516430338681516</v>
      </c>
      <c r="M300" s="10">
        <v>59.127396016523569</v>
      </c>
      <c r="N300" s="10">
        <v>103.54316938475309</v>
      </c>
      <c r="O300" s="10">
        <v>110.87239134244113</v>
      </c>
      <c r="P300" s="10" t="s">
        <v>114</v>
      </c>
      <c r="Q300" s="10">
        <v>3.129631640721446</v>
      </c>
      <c r="R300" s="10">
        <v>4.8624407765810771</v>
      </c>
      <c r="S300" s="10">
        <v>5.0618976721718321</v>
      </c>
      <c r="T300" s="10">
        <v>147.03049581542936</v>
      </c>
      <c r="U300" s="10">
        <v>139.93229124127313</v>
      </c>
      <c r="V300" s="10">
        <v>2.2050107853264183</v>
      </c>
      <c r="W300" s="10" t="s">
        <v>114</v>
      </c>
      <c r="X300" s="10" t="s">
        <v>114</v>
      </c>
      <c r="Y300" s="10">
        <v>392.9062207260925</v>
      </c>
      <c r="Z300" s="10">
        <v>1.3336901567191395</v>
      </c>
      <c r="AA300" s="10">
        <v>2.548054588232898</v>
      </c>
      <c r="AB300" s="10">
        <v>2.4670208212308604</v>
      </c>
      <c r="AC300" s="10" t="s">
        <v>114</v>
      </c>
      <c r="AD300" s="10" t="s">
        <v>114</v>
      </c>
      <c r="AE300" s="10" t="s">
        <v>114</v>
      </c>
      <c r="AF300" s="10">
        <v>3.8195657002594455E-3</v>
      </c>
      <c r="AG300" s="10">
        <v>14.069411698113086</v>
      </c>
      <c r="AH300" s="10">
        <v>6.6744237580211141E-2</v>
      </c>
      <c r="AI300" s="10">
        <v>0.1130585511170616</v>
      </c>
      <c r="AJ300" s="10">
        <v>1.2452847707783715E-2</v>
      </c>
      <c r="AK300" s="10">
        <v>6.2343294825386066E-2</v>
      </c>
      <c r="AL300" s="10" t="s">
        <v>114</v>
      </c>
      <c r="AM300" s="10" t="s">
        <v>114</v>
      </c>
      <c r="AN300" s="10">
        <v>9.6634216376617586E-3</v>
      </c>
      <c r="AO300" s="10" t="s">
        <v>114</v>
      </c>
      <c r="AP300" s="10">
        <v>1.9267477933515395E-2</v>
      </c>
      <c r="AQ300" s="10" t="s">
        <v>114</v>
      </c>
      <c r="AR300" s="10">
        <v>1.2527464719610186E-2</v>
      </c>
      <c r="AS300" s="10" t="s">
        <v>114</v>
      </c>
      <c r="AT300" s="10" t="s">
        <v>114</v>
      </c>
      <c r="AU300" s="10" t="s">
        <v>114</v>
      </c>
      <c r="AV300" s="10">
        <v>1.5305585237786021</v>
      </c>
      <c r="AW300" s="10">
        <v>29.469219520612477</v>
      </c>
      <c r="AX300" s="10" t="s">
        <v>114</v>
      </c>
      <c r="AY300" s="10" t="s">
        <v>114</v>
      </c>
      <c r="AZ300" s="10" t="s">
        <v>114</v>
      </c>
      <c r="BA300" s="10" t="s">
        <v>114</v>
      </c>
      <c r="BB300" s="10" t="s">
        <v>114</v>
      </c>
      <c r="BC300" s="10">
        <v>1.042720611851889</v>
      </c>
      <c r="BD300" s="10">
        <v>2.4619272356434654</v>
      </c>
    </row>
    <row r="301" spans="1:56" x14ac:dyDescent="0.3">
      <c r="A301" t="s">
        <v>385</v>
      </c>
      <c r="B301" t="s">
        <v>384</v>
      </c>
      <c r="C301" s="10">
        <v>6321.6552656196891</v>
      </c>
      <c r="D301" s="10">
        <v>2638.5153058165079</v>
      </c>
      <c r="E301" s="10">
        <v>55.519810132512127</v>
      </c>
      <c r="F301" s="10">
        <v>141740.48037389349</v>
      </c>
      <c r="G301" s="10">
        <v>169.93862620677092</v>
      </c>
      <c r="H301" s="10">
        <v>324387.2852747268</v>
      </c>
      <c r="I301" s="10">
        <v>322276.3918801925</v>
      </c>
      <c r="J301" s="10">
        <v>30.824903216266154</v>
      </c>
      <c r="K301" s="10" t="s">
        <v>114</v>
      </c>
      <c r="L301" s="10">
        <v>1.0040313000387131</v>
      </c>
      <c r="M301" s="10">
        <v>39.379239759641983</v>
      </c>
      <c r="N301" s="10">
        <v>31.883599323417307</v>
      </c>
      <c r="O301" s="10">
        <v>38.671637024609886</v>
      </c>
      <c r="P301" s="10" t="s">
        <v>114</v>
      </c>
      <c r="Q301" s="10">
        <v>48.209869477834552</v>
      </c>
      <c r="R301" s="10" t="s">
        <v>114</v>
      </c>
      <c r="S301" s="10" t="s">
        <v>114</v>
      </c>
      <c r="T301" s="10">
        <v>165.93688155304986</v>
      </c>
      <c r="U301" s="10">
        <v>160.13617168477029</v>
      </c>
      <c r="V301" s="10" t="s">
        <v>114</v>
      </c>
      <c r="W301" s="10" t="s">
        <v>114</v>
      </c>
      <c r="X301" s="10" t="s">
        <v>114</v>
      </c>
      <c r="Y301" s="10">
        <v>171.63531476416802</v>
      </c>
      <c r="Z301" s="10" t="s">
        <v>114</v>
      </c>
      <c r="AA301" s="10">
        <v>1.7164313351489302</v>
      </c>
      <c r="AB301" s="10">
        <v>1.6937908745768353</v>
      </c>
      <c r="AC301" s="10" t="s">
        <v>114</v>
      </c>
      <c r="AD301" s="10" t="s">
        <v>114</v>
      </c>
      <c r="AE301" s="10" t="s">
        <v>114</v>
      </c>
      <c r="AF301" s="10">
        <v>1.1669724750181013E-3</v>
      </c>
      <c r="AG301" s="10">
        <v>2.7176962067439638</v>
      </c>
      <c r="AH301" s="10">
        <v>5.2714549447817345E-2</v>
      </c>
      <c r="AI301" s="10">
        <v>0.14365054537941788</v>
      </c>
      <c r="AJ301" s="10">
        <v>1.0618846600916337E-2</v>
      </c>
      <c r="AK301" s="10">
        <v>6.327444576264081E-2</v>
      </c>
      <c r="AL301" s="10" t="s">
        <v>114</v>
      </c>
      <c r="AM301" s="10" t="s">
        <v>114</v>
      </c>
      <c r="AN301" s="10">
        <v>1.672879741436345E-2</v>
      </c>
      <c r="AO301" s="10" t="s">
        <v>114</v>
      </c>
      <c r="AP301" s="10">
        <v>1.4843856944493826E-2</v>
      </c>
      <c r="AQ301" s="10" t="s">
        <v>114</v>
      </c>
      <c r="AR301" s="10" t="s">
        <v>114</v>
      </c>
      <c r="AS301" s="10" t="s">
        <v>114</v>
      </c>
      <c r="AT301" s="10" t="s">
        <v>114</v>
      </c>
      <c r="AU301" s="10" t="s">
        <v>114</v>
      </c>
      <c r="AV301" s="10">
        <v>0.8528681647635975</v>
      </c>
      <c r="AW301" s="10">
        <v>27.238918768901126</v>
      </c>
      <c r="AX301" s="10" t="s">
        <v>114</v>
      </c>
      <c r="AY301" s="10" t="s">
        <v>114</v>
      </c>
      <c r="AZ301" s="10" t="s">
        <v>114</v>
      </c>
      <c r="BA301" s="10" t="s">
        <v>114</v>
      </c>
      <c r="BB301" s="10" t="s">
        <v>114</v>
      </c>
      <c r="BC301" s="10">
        <v>0.58795713599369392</v>
      </c>
      <c r="BD301" s="10">
        <v>1.3367226825466698</v>
      </c>
    </row>
    <row r="302" spans="1:56" x14ac:dyDescent="0.3">
      <c r="A302" t="s">
        <v>386</v>
      </c>
      <c r="B302" t="s">
        <v>384</v>
      </c>
      <c r="C302" s="10">
        <v>3878.1588435242916</v>
      </c>
      <c r="D302" s="10">
        <v>2080.7282593792306</v>
      </c>
      <c r="E302" s="10">
        <v>71.136223375909239</v>
      </c>
      <c r="F302" s="10">
        <v>100916.21223237641</v>
      </c>
      <c r="G302" s="10" t="s">
        <v>114</v>
      </c>
      <c r="H302" s="10">
        <v>229878.58589685496</v>
      </c>
      <c r="I302" s="10">
        <v>228250.11123264881</v>
      </c>
      <c r="J302" s="10" t="s">
        <v>114</v>
      </c>
      <c r="K302" s="10" t="s">
        <v>114</v>
      </c>
      <c r="L302" s="10">
        <v>1.0090664133495049</v>
      </c>
      <c r="M302" s="10">
        <v>17.229282186863596</v>
      </c>
      <c r="N302" s="10">
        <v>11.241046187683041</v>
      </c>
      <c r="O302" s="10">
        <v>14.161889841127843</v>
      </c>
      <c r="P302" s="10" t="s">
        <v>114</v>
      </c>
      <c r="Q302" s="10">
        <v>7.1801605832233282</v>
      </c>
      <c r="R302" s="10" t="s">
        <v>114</v>
      </c>
      <c r="S302" s="10" t="s">
        <v>114</v>
      </c>
      <c r="T302" s="10">
        <v>230.63065077954391</v>
      </c>
      <c r="U302" s="10">
        <v>217.22677654707476</v>
      </c>
      <c r="V302" s="10" t="s">
        <v>114</v>
      </c>
      <c r="W302" s="10" t="s">
        <v>114</v>
      </c>
      <c r="X302" s="10" t="s">
        <v>114</v>
      </c>
      <c r="Y302" s="10">
        <v>162.73188487063985</v>
      </c>
      <c r="Z302" s="10" t="s">
        <v>114</v>
      </c>
      <c r="AA302" s="10">
        <v>1.4235525851013988</v>
      </c>
      <c r="AB302" s="10">
        <v>1.3094604674438264</v>
      </c>
      <c r="AC302" s="10" t="s">
        <v>114</v>
      </c>
      <c r="AD302" s="10" t="s">
        <v>114</v>
      </c>
      <c r="AE302" s="10" t="s">
        <v>114</v>
      </c>
      <c r="AF302" s="10">
        <v>9.8291956652777485E-4</v>
      </c>
      <c r="AG302" s="10">
        <v>4.1838858403888981</v>
      </c>
      <c r="AH302" s="10">
        <v>5.3517663906060393E-2</v>
      </c>
      <c r="AI302" s="10">
        <v>8.6563777217427557E-2</v>
      </c>
      <c r="AJ302" s="10">
        <v>1.0199892197817634E-2</v>
      </c>
      <c r="AK302" s="10">
        <v>3.4287326067008017E-2</v>
      </c>
      <c r="AL302" s="10" t="s">
        <v>114</v>
      </c>
      <c r="AM302" s="10" t="s">
        <v>114</v>
      </c>
      <c r="AN302" s="10" t="s">
        <v>114</v>
      </c>
      <c r="AO302" s="10" t="s">
        <v>114</v>
      </c>
      <c r="AP302" s="10">
        <v>1.2402888457813989E-2</v>
      </c>
      <c r="AQ302" s="10" t="s">
        <v>114</v>
      </c>
      <c r="AR302" s="10">
        <v>1.2307866957164513E-2</v>
      </c>
      <c r="AS302" s="10" t="s">
        <v>114</v>
      </c>
      <c r="AT302" s="10" t="s">
        <v>114</v>
      </c>
      <c r="AU302" s="10" t="s">
        <v>114</v>
      </c>
      <c r="AV302" s="10">
        <v>0.70859834079624473</v>
      </c>
      <c r="AW302" s="10">
        <v>27.048594958811641</v>
      </c>
      <c r="AX302" s="10" t="s">
        <v>114</v>
      </c>
      <c r="AY302" s="10" t="s">
        <v>114</v>
      </c>
      <c r="AZ302" s="10">
        <v>0.7088003157315611</v>
      </c>
      <c r="BA302" s="10" t="s">
        <v>114</v>
      </c>
      <c r="BB302" s="10">
        <v>0.66496171243277602</v>
      </c>
      <c r="BC302" s="10">
        <v>0.43125644367217747</v>
      </c>
      <c r="BD302" s="10">
        <v>0.56745695391736517</v>
      </c>
    </row>
    <row r="303" spans="1:56" x14ac:dyDescent="0.3">
      <c r="A303" t="s">
        <v>387</v>
      </c>
      <c r="B303" t="s">
        <v>384</v>
      </c>
      <c r="C303" s="10">
        <v>7332.2682892841485</v>
      </c>
      <c r="D303" s="10">
        <v>2900.7075037825293</v>
      </c>
      <c r="E303" s="10">
        <v>175.79185779301201</v>
      </c>
      <c r="F303" s="10">
        <v>161188.14656076627</v>
      </c>
      <c r="G303" s="10">
        <v>263.5818191121661</v>
      </c>
      <c r="H303" s="10">
        <v>369849.31417540374</v>
      </c>
      <c r="I303" s="10">
        <v>368462.2550823405</v>
      </c>
      <c r="J303" s="10">
        <v>67.825797920843101</v>
      </c>
      <c r="K303" s="10">
        <v>1.7577815365373803</v>
      </c>
      <c r="L303" s="10">
        <v>2.5984927490883476</v>
      </c>
      <c r="M303" s="10">
        <v>87.332145285514315</v>
      </c>
      <c r="N303" s="10">
        <v>87.338301902234406</v>
      </c>
      <c r="O303" s="10">
        <v>97.23895652809766</v>
      </c>
      <c r="P303" s="10">
        <v>0.44550430172247013</v>
      </c>
      <c r="Q303" s="10">
        <v>143.69182368212952</v>
      </c>
      <c r="R303" s="10" t="s">
        <v>114</v>
      </c>
      <c r="S303" s="10" t="s">
        <v>114</v>
      </c>
      <c r="T303" s="10">
        <v>184.77775863544113</v>
      </c>
      <c r="U303" s="10">
        <v>176.80490004518742</v>
      </c>
      <c r="V303" s="10">
        <v>2.8125537668200806</v>
      </c>
      <c r="W303" s="10" t="s">
        <v>114</v>
      </c>
      <c r="X303" s="10" t="s">
        <v>114</v>
      </c>
      <c r="Y303" s="10">
        <v>422.59538160333113</v>
      </c>
      <c r="Z303" s="10" t="s">
        <v>114</v>
      </c>
      <c r="AA303" s="10">
        <v>1.1707953569869638</v>
      </c>
      <c r="AB303" s="10">
        <v>1.2592336326020583</v>
      </c>
      <c r="AC303" s="10" t="s">
        <v>114</v>
      </c>
      <c r="AD303" s="10" t="s">
        <v>114</v>
      </c>
      <c r="AE303" s="10" t="s">
        <v>114</v>
      </c>
      <c r="AF303" s="10">
        <v>1.3279294655093015E-3</v>
      </c>
      <c r="AG303" s="10">
        <v>19.70197313392946</v>
      </c>
      <c r="AH303" s="10">
        <v>0.13177878874208537</v>
      </c>
      <c r="AI303" s="10">
        <v>0.28289952944828034</v>
      </c>
      <c r="AJ303" s="10">
        <v>2.6999364248764819E-2</v>
      </c>
      <c r="AK303" s="10">
        <v>0.12862570965600786</v>
      </c>
      <c r="AL303" s="10" t="s">
        <v>114</v>
      </c>
      <c r="AM303" s="10" t="s">
        <v>114</v>
      </c>
      <c r="AN303" s="10">
        <v>2.2538610894505616E-2</v>
      </c>
      <c r="AO303" s="10" t="s">
        <v>114</v>
      </c>
      <c r="AP303" s="10">
        <v>3.138224901353602E-2</v>
      </c>
      <c r="AQ303" s="10" t="s">
        <v>114</v>
      </c>
      <c r="AR303" s="10">
        <v>1.3650802187286669E-2</v>
      </c>
      <c r="AS303" s="10" t="s">
        <v>114</v>
      </c>
      <c r="AT303" s="10" t="s">
        <v>114</v>
      </c>
      <c r="AU303" s="10" t="s">
        <v>114</v>
      </c>
      <c r="AV303" s="10">
        <v>0.78732004758689833</v>
      </c>
      <c r="AW303" s="10">
        <v>25.070916516920235</v>
      </c>
      <c r="AX303" s="10" t="s">
        <v>114</v>
      </c>
      <c r="AY303" s="10" t="s">
        <v>114</v>
      </c>
      <c r="AZ303" s="10">
        <v>3.8732838724219296</v>
      </c>
      <c r="BA303" s="10">
        <v>3.4360670756637073</v>
      </c>
      <c r="BB303" s="10">
        <v>3.5926467873896475</v>
      </c>
      <c r="BC303" s="10">
        <v>0.32806144968343326</v>
      </c>
      <c r="BD303" s="10">
        <v>2.3891749203893475</v>
      </c>
    </row>
    <row r="304" spans="1:56" x14ac:dyDescent="0.3">
      <c r="A304" t="s">
        <v>388</v>
      </c>
      <c r="B304" t="s">
        <v>384</v>
      </c>
      <c r="C304" s="10">
        <v>5191.3395690398766</v>
      </c>
      <c r="D304" s="10">
        <v>2543.3239884562377</v>
      </c>
      <c r="E304" s="10">
        <v>139.90309703864702</v>
      </c>
      <c r="F304" s="10">
        <v>155134.61233673361</v>
      </c>
      <c r="G304" s="10">
        <v>220.07415710149286</v>
      </c>
      <c r="H304" s="10">
        <v>350124.47933404509</v>
      </c>
      <c r="I304" s="10">
        <v>351261.49089606333</v>
      </c>
      <c r="J304" s="10">
        <v>177.74774220441134</v>
      </c>
      <c r="K304" s="10">
        <v>0.91366104830898087</v>
      </c>
      <c r="L304" s="10">
        <v>20.977673123507028</v>
      </c>
      <c r="M304" s="10">
        <v>30.015885839826915</v>
      </c>
      <c r="N304" s="10">
        <v>170.30623454247959</v>
      </c>
      <c r="O304" s="10">
        <v>177.48080285283103</v>
      </c>
      <c r="P304" s="10">
        <v>2.4875754950572375</v>
      </c>
      <c r="Q304" s="10">
        <v>1364.5412532302432</v>
      </c>
      <c r="R304" s="10" t="s">
        <v>114</v>
      </c>
      <c r="S304" s="10" t="s">
        <v>114</v>
      </c>
      <c r="T304" s="10">
        <v>520.35879408543133</v>
      </c>
      <c r="U304" s="10">
        <v>496.01687133819962</v>
      </c>
      <c r="V304" s="10">
        <v>1.3521690332747165</v>
      </c>
      <c r="W304" s="10" t="s">
        <v>114</v>
      </c>
      <c r="X304" s="10">
        <v>0.24260275462798747</v>
      </c>
      <c r="Y304" s="10">
        <v>255.4182180521932</v>
      </c>
      <c r="Z304" s="10" t="s">
        <v>114</v>
      </c>
      <c r="AA304" s="10">
        <v>1.1163827553326169</v>
      </c>
      <c r="AB304" s="10">
        <v>1.0745822997418304</v>
      </c>
      <c r="AC304" s="10" t="s">
        <v>114</v>
      </c>
      <c r="AD304" s="10" t="s">
        <v>114</v>
      </c>
      <c r="AE304" s="10" t="s">
        <v>114</v>
      </c>
      <c r="AF304" s="10">
        <v>1.7260870805359588E-3</v>
      </c>
      <c r="AG304" s="10">
        <v>8.882796337842441</v>
      </c>
      <c r="AH304" s="10">
        <v>0.42103400412915776</v>
      </c>
      <c r="AI304" s="10">
        <v>0.9724807387731812</v>
      </c>
      <c r="AJ304" s="10">
        <v>9.6711273953261748E-2</v>
      </c>
      <c r="AK304" s="10">
        <v>0.4909697746089865</v>
      </c>
      <c r="AL304" s="10">
        <v>9.3205221056338633E-2</v>
      </c>
      <c r="AM304" s="10">
        <v>2.3760288142727612E-2</v>
      </c>
      <c r="AN304" s="10">
        <v>0.10023305704285182</v>
      </c>
      <c r="AO304" s="10" t="s">
        <v>114</v>
      </c>
      <c r="AP304" s="10">
        <v>9.4384768425318483E-2</v>
      </c>
      <c r="AQ304" s="10" t="s">
        <v>114</v>
      </c>
      <c r="AR304" s="10">
        <v>4.6228046761862186E-2</v>
      </c>
      <c r="AS304" s="10">
        <v>7.3262765089787121E-3</v>
      </c>
      <c r="AT304" s="10">
        <v>4.2344210585814321E-2</v>
      </c>
      <c r="AU304" s="10">
        <v>4.5251512551750398E-3</v>
      </c>
      <c r="AV304" s="10">
        <v>0.64030467918738709</v>
      </c>
      <c r="AW304" s="10">
        <v>25.115739673805649</v>
      </c>
      <c r="AX304" s="10" t="s">
        <v>114</v>
      </c>
      <c r="AY304" s="10" t="s">
        <v>114</v>
      </c>
      <c r="AZ304" s="10" t="s">
        <v>114</v>
      </c>
      <c r="BA304" s="10" t="s">
        <v>114</v>
      </c>
      <c r="BB304" s="10" t="s">
        <v>114</v>
      </c>
      <c r="BC304" s="10">
        <v>0.310998597699499</v>
      </c>
      <c r="BD304" s="10">
        <v>0.39604125268808377</v>
      </c>
    </row>
    <row r="305" spans="1:56" x14ac:dyDescent="0.3">
      <c r="A305" t="s">
        <v>389</v>
      </c>
      <c r="B305" t="s">
        <v>384</v>
      </c>
      <c r="C305" s="10">
        <v>6058.8979623976211</v>
      </c>
      <c r="D305" s="10">
        <v>2890.2935528828648</v>
      </c>
      <c r="E305" s="10">
        <v>53.008343408732848</v>
      </c>
      <c r="F305" s="10">
        <v>162616.56646269228</v>
      </c>
      <c r="G305" s="10">
        <v>197.6116509082878</v>
      </c>
      <c r="H305" s="10">
        <v>369378.34620813554</v>
      </c>
      <c r="I305" s="10">
        <v>366795.67078258831</v>
      </c>
      <c r="J305" s="10">
        <v>26.236166099824022</v>
      </c>
      <c r="K305" s="10" t="s">
        <v>114</v>
      </c>
      <c r="L305" s="10">
        <v>1.1001722617745056</v>
      </c>
      <c r="M305" s="10">
        <v>14.529030533131181</v>
      </c>
      <c r="N305" s="10">
        <v>14.857934412403425</v>
      </c>
      <c r="O305" s="10">
        <v>21.792657179923985</v>
      </c>
      <c r="P305" s="10" t="s">
        <v>114</v>
      </c>
      <c r="Q305" s="10">
        <v>17.934644592920485</v>
      </c>
      <c r="R305" s="10" t="s">
        <v>114</v>
      </c>
      <c r="S305" s="10" t="s">
        <v>114</v>
      </c>
      <c r="T305" s="10">
        <v>283.11284250995453</v>
      </c>
      <c r="U305" s="10">
        <v>264.57750495574203</v>
      </c>
      <c r="V305" s="10" t="s">
        <v>114</v>
      </c>
      <c r="W305" s="10" t="s">
        <v>114</v>
      </c>
      <c r="X305" s="10" t="s">
        <v>114</v>
      </c>
      <c r="Y305" s="10">
        <v>114.79559812393576</v>
      </c>
      <c r="Z305" s="10" t="s">
        <v>114</v>
      </c>
      <c r="AA305" s="10">
        <v>0.81998624245026486</v>
      </c>
      <c r="AB305" s="10">
        <v>0.6736697954386115</v>
      </c>
      <c r="AC305" s="10" t="s">
        <v>114</v>
      </c>
      <c r="AD305" s="10" t="s">
        <v>114</v>
      </c>
      <c r="AE305" s="10" t="s">
        <v>114</v>
      </c>
      <c r="AF305" s="10">
        <v>3.1774391536054211E-3</v>
      </c>
      <c r="AG305" s="10">
        <v>1.0415189463249119</v>
      </c>
      <c r="AH305" s="10">
        <v>7.7311544191343534E-2</v>
      </c>
      <c r="AI305" s="10">
        <v>0.16741093617848357</v>
      </c>
      <c r="AJ305" s="10">
        <v>1.6746505372577342E-2</v>
      </c>
      <c r="AK305" s="10">
        <v>8.0582099999022702E-2</v>
      </c>
      <c r="AL305" s="10" t="s">
        <v>114</v>
      </c>
      <c r="AM305" s="10" t="s">
        <v>114</v>
      </c>
      <c r="AN305" s="10">
        <v>1.9809084289603422E-2</v>
      </c>
      <c r="AO305" s="10" t="s">
        <v>114</v>
      </c>
      <c r="AP305" s="10">
        <v>1.9360569598262382E-2</v>
      </c>
      <c r="AQ305" s="10" t="s">
        <v>114</v>
      </c>
      <c r="AR305" s="10" t="s">
        <v>114</v>
      </c>
      <c r="AS305" s="10" t="s">
        <v>114</v>
      </c>
      <c r="AT305" s="10" t="s">
        <v>114</v>
      </c>
      <c r="AU305" s="10" t="s">
        <v>114</v>
      </c>
      <c r="AV305" s="10">
        <v>0.33226558478291912</v>
      </c>
      <c r="AW305" s="10">
        <v>25.524297655653939</v>
      </c>
      <c r="AX305" s="10" t="s">
        <v>114</v>
      </c>
      <c r="AY305" s="10" t="s">
        <v>114</v>
      </c>
      <c r="AZ305" s="10" t="s">
        <v>114</v>
      </c>
      <c r="BA305" s="10" t="s">
        <v>114</v>
      </c>
      <c r="BB305" s="10" t="s">
        <v>114</v>
      </c>
      <c r="BC305" s="10">
        <v>0.15849172957494562</v>
      </c>
      <c r="BD305" s="10">
        <v>7.9724992289899252E-2</v>
      </c>
    </row>
    <row r="306" spans="1:56" x14ac:dyDescent="0.3">
      <c r="A306" t="s">
        <v>390</v>
      </c>
      <c r="B306" t="s">
        <v>384</v>
      </c>
      <c r="C306" s="10">
        <v>7565.5594291150501</v>
      </c>
      <c r="D306" s="10">
        <v>3277.0528902403785</v>
      </c>
      <c r="E306" s="10">
        <v>161.04395707015854</v>
      </c>
      <c r="F306" s="10">
        <v>184275.874380486</v>
      </c>
      <c r="G306" s="10">
        <v>256.32744734721678</v>
      </c>
      <c r="H306" s="10">
        <v>426588.07866482763</v>
      </c>
      <c r="I306" s="10">
        <v>424805.10481402581</v>
      </c>
      <c r="J306" s="10">
        <v>54.050324233959529</v>
      </c>
      <c r="K306" s="10">
        <v>1.1770699631513863</v>
      </c>
      <c r="L306" s="10">
        <v>2.5699307877607436</v>
      </c>
      <c r="M306" s="10">
        <v>107.43154429615819</v>
      </c>
      <c r="N306" s="10">
        <v>143.9108928415086</v>
      </c>
      <c r="O306" s="10">
        <v>152.93905446057229</v>
      </c>
      <c r="P306" s="10">
        <v>0.35705942882073721</v>
      </c>
      <c r="Q306" s="10">
        <v>13.238183673107155</v>
      </c>
      <c r="R306" s="10" t="s">
        <v>114</v>
      </c>
      <c r="S306" s="10" t="s">
        <v>114</v>
      </c>
      <c r="T306" s="10">
        <v>258.91091563379854</v>
      </c>
      <c r="U306" s="10">
        <v>247.71862689926755</v>
      </c>
      <c r="V306" s="10">
        <v>1.5199478199781025</v>
      </c>
      <c r="W306" s="10" t="s">
        <v>114</v>
      </c>
      <c r="X306" s="10" t="s">
        <v>114</v>
      </c>
      <c r="Y306" s="10">
        <v>379.62729245732191</v>
      </c>
      <c r="Z306" s="10" t="s">
        <v>114</v>
      </c>
      <c r="AA306" s="10">
        <v>1.3946869406231419</v>
      </c>
      <c r="AB306" s="10">
        <v>1.5515758014646275</v>
      </c>
      <c r="AC306" s="10" t="s">
        <v>114</v>
      </c>
      <c r="AD306" s="10" t="s">
        <v>114</v>
      </c>
      <c r="AE306" s="10" t="s">
        <v>114</v>
      </c>
      <c r="AF306" s="10">
        <v>5.8068795768877112E-3</v>
      </c>
      <c r="AG306" s="10">
        <v>9.6481056350086654</v>
      </c>
      <c r="AH306" s="10">
        <v>0.11602449676005175</v>
      </c>
      <c r="AI306" s="10">
        <v>0.23165792964349607</v>
      </c>
      <c r="AJ306" s="10">
        <v>2.5004099672306965E-2</v>
      </c>
      <c r="AK306" s="10">
        <v>0.11459283325003528</v>
      </c>
      <c r="AL306" s="10" t="s">
        <v>114</v>
      </c>
      <c r="AM306" s="10" t="s">
        <v>114</v>
      </c>
      <c r="AN306" s="10">
        <v>1.9076341540143191E-2</v>
      </c>
      <c r="AO306" s="10" t="s">
        <v>114</v>
      </c>
      <c r="AP306" s="10">
        <v>1.5000204316683434E-2</v>
      </c>
      <c r="AQ306" s="10" t="s">
        <v>114</v>
      </c>
      <c r="AR306" s="10">
        <v>1.0389758485963459E-2</v>
      </c>
      <c r="AS306" s="10" t="s">
        <v>114</v>
      </c>
      <c r="AT306" s="10" t="s">
        <v>114</v>
      </c>
      <c r="AU306" s="10" t="s">
        <v>114</v>
      </c>
      <c r="AV306" s="10">
        <v>0.89804412762664421</v>
      </c>
      <c r="AW306" s="10">
        <v>23.355367489749487</v>
      </c>
      <c r="AX306" s="10" t="s">
        <v>114</v>
      </c>
      <c r="AY306" s="10" t="s">
        <v>114</v>
      </c>
      <c r="AZ306" s="10">
        <v>1.5519234510418565</v>
      </c>
      <c r="BA306" s="10">
        <v>1.3106098248444586</v>
      </c>
      <c r="BB306" s="10">
        <v>1.4295539834779307</v>
      </c>
      <c r="BC306" s="10">
        <v>0.49188352137817759</v>
      </c>
      <c r="BD306" s="10">
        <v>0.75926511897600701</v>
      </c>
    </row>
    <row r="307" spans="1:56" x14ac:dyDescent="0.3">
      <c r="A307" t="s">
        <v>391</v>
      </c>
      <c r="B307" t="s">
        <v>384</v>
      </c>
      <c r="C307" s="10">
        <v>10468.457864963497</v>
      </c>
      <c r="D307" s="10">
        <v>5769.3635368027062</v>
      </c>
      <c r="E307" s="10">
        <v>84.747099695144328</v>
      </c>
      <c r="F307" s="10">
        <v>267060.98834390036</v>
      </c>
      <c r="G307" s="10">
        <v>258.36558044944837</v>
      </c>
      <c r="H307" s="10">
        <v>634934.66241652938</v>
      </c>
      <c r="I307" s="10">
        <v>631162.14599353168</v>
      </c>
      <c r="J307" s="10" t="s">
        <v>114</v>
      </c>
      <c r="K307" s="10">
        <v>3.5293588021379647</v>
      </c>
      <c r="L307" s="10">
        <v>6.0949149970329675</v>
      </c>
      <c r="M307" s="10">
        <v>192.24187556922337</v>
      </c>
      <c r="N307" s="10">
        <v>73.798791803940219</v>
      </c>
      <c r="O307" s="10">
        <v>86.843337947422526</v>
      </c>
      <c r="P307" s="10">
        <v>0.32969877991299984</v>
      </c>
      <c r="Q307" s="10">
        <v>3.6098998794193071</v>
      </c>
      <c r="R307" s="10">
        <v>8.0660865311218064</v>
      </c>
      <c r="S307" s="10">
        <v>7.7178182824834485</v>
      </c>
      <c r="T307" s="10">
        <v>454.32433413797872</v>
      </c>
      <c r="U307" s="10">
        <v>433.06844984863227</v>
      </c>
      <c r="V307" s="10">
        <v>1.4819830846539053</v>
      </c>
      <c r="W307" s="10" t="s">
        <v>114</v>
      </c>
      <c r="X307" s="10" t="s">
        <v>114</v>
      </c>
      <c r="Y307" s="10">
        <v>825.99332608565476</v>
      </c>
      <c r="Z307" s="10">
        <v>1.5662060715979103</v>
      </c>
      <c r="AA307" s="10">
        <v>1.1494864432708534</v>
      </c>
      <c r="AB307" s="10">
        <v>1.3169235500127994</v>
      </c>
      <c r="AC307" s="10" t="s">
        <v>114</v>
      </c>
      <c r="AD307" s="10" t="s">
        <v>114</v>
      </c>
      <c r="AE307" s="10" t="s">
        <v>114</v>
      </c>
      <c r="AF307" s="10">
        <v>3.5414981215096735E-3</v>
      </c>
      <c r="AG307" s="10">
        <v>27.593869346771669</v>
      </c>
      <c r="AH307" s="10">
        <v>0.71348824755982809</v>
      </c>
      <c r="AI307" s="10">
        <v>1.4074510146702819</v>
      </c>
      <c r="AJ307" s="10">
        <v>0.13423186792342881</v>
      </c>
      <c r="AK307" s="10">
        <v>0.62429007522728575</v>
      </c>
      <c r="AL307" s="10">
        <v>0.11434239394026403</v>
      </c>
      <c r="AM307" s="10">
        <v>2.9127481890435094E-2</v>
      </c>
      <c r="AN307" s="10">
        <v>0.1329845850902005</v>
      </c>
      <c r="AO307" s="10" t="s">
        <v>114</v>
      </c>
      <c r="AP307" s="10">
        <v>0.13252023414424211</v>
      </c>
      <c r="AQ307" s="10" t="s">
        <v>114</v>
      </c>
      <c r="AR307" s="10">
        <v>8.9451920916715708E-2</v>
      </c>
      <c r="AS307" s="10">
        <v>1.2732477124684576E-2</v>
      </c>
      <c r="AT307" s="10">
        <v>9.3981922578253899E-2</v>
      </c>
      <c r="AU307" s="10">
        <v>1.1758171384818871E-2</v>
      </c>
      <c r="AV307" s="10">
        <v>0.96499187309560208</v>
      </c>
      <c r="AW307" s="10">
        <v>24.939545750752298</v>
      </c>
      <c r="AX307" s="10" t="s">
        <v>114</v>
      </c>
      <c r="AY307" s="10" t="s">
        <v>114</v>
      </c>
      <c r="AZ307" s="10">
        <v>3.2992123668217399</v>
      </c>
      <c r="BA307" s="10">
        <v>2.9133038941831075</v>
      </c>
      <c r="BB307" s="10">
        <v>3.0836955213485449</v>
      </c>
      <c r="BC307" s="10">
        <v>0.34739360595810537</v>
      </c>
      <c r="BD307" s="10">
        <v>7.2905452090264795</v>
      </c>
    </row>
    <row r="308" spans="1:56" x14ac:dyDescent="0.3">
      <c r="A308" t="s">
        <v>392</v>
      </c>
      <c r="B308" t="s">
        <v>384</v>
      </c>
      <c r="C308" s="10">
        <v>7287.7820668275026</v>
      </c>
      <c r="D308" s="10">
        <v>3332.1166684842638</v>
      </c>
      <c r="E308" s="10">
        <v>44.889651319958176</v>
      </c>
      <c r="F308" s="10">
        <v>153505.26320266933</v>
      </c>
      <c r="G308" s="10">
        <v>271.59488018494807</v>
      </c>
      <c r="H308" s="10">
        <v>350243.89364479348</v>
      </c>
      <c r="I308" s="10">
        <v>347768.94878699147</v>
      </c>
      <c r="J308" s="10">
        <v>158.66778434560132</v>
      </c>
      <c r="K308" s="10">
        <v>0.63124959430248961</v>
      </c>
      <c r="L308" s="10">
        <v>1.1701939973445683</v>
      </c>
      <c r="M308" s="10">
        <v>35.167970191616135</v>
      </c>
      <c r="N308" s="10">
        <v>37.895314049535379</v>
      </c>
      <c r="O308" s="10">
        <v>45.699195185876434</v>
      </c>
      <c r="P308" s="10" t="s">
        <v>114</v>
      </c>
      <c r="Q308" s="10">
        <v>4.694760475143517</v>
      </c>
      <c r="R308" s="10" t="s">
        <v>114</v>
      </c>
      <c r="S308" s="10" t="s">
        <v>114</v>
      </c>
      <c r="T308" s="10">
        <v>124.10057820115166</v>
      </c>
      <c r="U308" s="10">
        <v>116.72527244726435</v>
      </c>
      <c r="V308" s="10" t="s">
        <v>114</v>
      </c>
      <c r="W308" s="10" t="s">
        <v>114</v>
      </c>
      <c r="X308" s="10" t="s">
        <v>114</v>
      </c>
      <c r="Y308" s="10">
        <v>166.67564461623994</v>
      </c>
      <c r="Z308" s="10" t="s">
        <v>114</v>
      </c>
      <c r="AA308" s="10">
        <v>0.89111211788539169</v>
      </c>
      <c r="AB308" s="10">
        <v>0.85819576717864887</v>
      </c>
      <c r="AC308" s="10" t="s">
        <v>114</v>
      </c>
      <c r="AD308" s="10" t="s">
        <v>114</v>
      </c>
      <c r="AE308" s="10" t="s">
        <v>114</v>
      </c>
      <c r="AF308" s="10">
        <v>2.707979401370084E-3</v>
      </c>
      <c r="AG308" s="10">
        <v>12.844501374857415</v>
      </c>
      <c r="AH308" s="10">
        <v>0.13904937535721543</v>
      </c>
      <c r="AI308" s="10">
        <v>0.33580086005118132</v>
      </c>
      <c r="AJ308" s="10">
        <v>3.7119667032896632E-2</v>
      </c>
      <c r="AK308" s="10">
        <v>0.17911245844404705</v>
      </c>
      <c r="AL308" s="10">
        <v>2.8609332213842032E-2</v>
      </c>
      <c r="AM308" s="10" t="s">
        <v>114</v>
      </c>
      <c r="AN308" s="10">
        <v>3.1847464809808934E-2</v>
      </c>
      <c r="AO308" s="10" t="s">
        <v>114</v>
      </c>
      <c r="AP308" s="10">
        <v>3.0188166726474969E-2</v>
      </c>
      <c r="AQ308" s="10" t="s">
        <v>114</v>
      </c>
      <c r="AR308" s="10">
        <v>2.1658432874235127E-2</v>
      </c>
      <c r="AS308" s="10" t="s">
        <v>114</v>
      </c>
      <c r="AT308" s="10" t="s">
        <v>114</v>
      </c>
      <c r="AU308" s="10" t="s">
        <v>114</v>
      </c>
      <c r="AV308" s="10">
        <v>0.47289165619117957</v>
      </c>
      <c r="AW308" s="10">
        <v>25.811590553653474</v>
      </c>
      <c r="AX308" s="10" t="s">
        <v>114</v>
      </c>
      <c r="AY308" s="10" t="s">
        <v>114</v>
      </c>
      <c r="AZ308" s="10">
        <v>1.146768014846054</v>
      </c>
      <c r="BA308" s="10">
        <v>0.98398282524972736</v>
      </c>
      <c r="BB308" s="10">
        <v>1.0465586106253417</v>
      </c>
      <c r="BC308" s="10">
        <v>0.14732227810158166</v>
      </c>
      <c r="BD308" s="10">
        <v>0.43110984265229857</v>
      </c>
    </row>
    <row r="309" spans="1:56" x14ac:dyDescent="0.3">
      <c r="A309" t="s">
        <v>393</v>
      </c>
      <c r="B309" t="s">
        <v>384</v>
      </c>
      <c r="C309" s="10">
        <v>8201.9808351420997</v>
      </c>
      <c r="D309" s="10">
        <v>4173.3522427185717</v>
      </c>
      <c r="E309" s="10">
        <v>106.07897004225917</v>
      </c>
      <c r="F309" s="10">
        <v>165481.35168341341</v>
      </c>
      <c r="G309" s="10">
        <v>219.63435268506834</v>
      </c>
      <c r="H309" s="10">
        <v>376395.94168448012</v>
      </c>
      <c r="I309" s="10">
        <v>378498.24546675995</v>
      </c>
      <c r="J309" s="10" t="s">
        <v>114</v>
      </c>
      <c r="K309" s="10">
        <v>0.58486198239230991</v>
      </c>
      <c r="L309" s="10">
        <v>1.2387304370542616</v>
      </c>
      <c r="M309" s="10">
        <v>24.437684637837791</v>
      </c>
      <c r="N309" s="10">
        <v>45.277183300475542</v>
      </c>
      <c r="O309" s="10">
        <v>49.414236797048503</v>
      </c>
      <c r="P309" s="10" t="s">
        <v>114</v>
      </c>
      <c r="Q309" s="10">
        <v>1.0927326249802607</v>
      </c>
      <c r="R309" s="10" t="s">
        <v>114</v>
      </c>
      <c r="S309" s="10" t="s">
        <v>114</v>
      </c>
      <c r="T309" s="10">
        <v>73.158278461601668</v>
      </c>
      <c r="U309" s="10">
        <v>68.244805381066655</v>
      </c>
      <c r="V309" s="10">
        <v>1.3347371939866963</v>
      </c>
      <c r="W309" s="10" t="s">
        <v>114</v>
      </c>
      <c r="X309" s="10" t="s">
        <v>114</v>
      </c>
      <c r="Y309" s="10">
        <v>390.86388031829949</v>
      </c>
      <c r="Z309" s="10" t="s">
        <v>114</v>
      </c>
      <c r="AA309" s="10">
        <v>0.6469402781061524</v>
      </c>
      <c r="AB309" s="10">
        <v>0.54792807511040964</v>
      </c>
      <c r="AC309" s="10" t="s">
        <v>114</v>
      </c>
      <c r="AD309" s="10" t="s">
        <v>114</v>
      </c>
      <c r="AE309" s="10" t="s">
        <v>114</v>
      </c>
      <c r="AF309" s="10">
        <v>2.6735009088037897E-3</v>
      </c>
      <c r="AG309" s="10">
        <v>4.5610049068160476</v>
      </c>
      <c r="AH309" s="10">
        <v>9.2195158289935644E-2</v>
      </c>
      <c r="AI309" s="10">
        <v>0.25883582759567408</v>
      </c>
      <c r="AJ309" s="10">
        <v>1.2371478539259883E-2</v>
      </c>
      <c r="AK309" s="10">
        <v>7.3796368268824408E-2</v>
      </c>
      <c r="AL309" s="10" t="s">
        <v>114</v>
      </c>
      <c r="AM309" s="10" t="s">
        <v>114</v>
      </c>
      <c r="AN309" s="10">
        <v>1.918863344980741E-2</v>
      </c>
      <c r="AO309" s="10" t="s">
        <v>114</v>
      </c>
      <c r="AP309" s="10">
        <v>2.6711142172279774E-2</v>
      </c>
      <c r="AQ309" s="10" t="s">
        <v>114</v>
      </c>
      <c r="AR309" s="10">
        <v>1.6202868495445048E-2</v>
      </c>
      <c r="AS309" s="10" t="s">
        <v>114</v>
      </c>
      <c r="AT309" s="10">
        <v>1.6639148838842068E-2</v>
      </c>
      <c r="AU309" s="10" t="s">
        <v>114</v>
      </c>
      <c r="AV309" s="10">
        <v>0.36063003794403847</v>
      </c>
      <c r="AW309" s="10">
        <v>23.130131798358693</v>
      </c>
      <c r="AX309" s="10" t="s">
        <v>114</v>
      </c>
      <c r="AY309" s="10" t="s">
        <v>114</v>
      </c>
      <c r="AZ309" s="10" t="s">
        <v>114</v>
      </c>
      <c r="BA309" s="10" t="s">
        <v>114</v>
      </c>
      <c r="BB309" s="10" t="s">
        <v>114</v>
      </c>
      <c r="BC309" s="10" t="s">
        <v>114</v>
      </c>
      <c r="BD309" s="10">
        <v>0.42794849062968937</v>
      </c>
    </row>
    <row r="310" spans="1:56" x14ac:dyDescent="0.3">
      <c r="A310" t="s">
        <v>394</v>
      </c>
      <c r="B310" t="s">
        <v>384</v>
      </c>
      <c r="C310" s="10">
        <v>6536.6654845657777</v>
      </c>
      <c r="D310" s="10">
        <v>3188.7315450449032</v>
      </c>
      <c r="E310" s="10">
        <v>100.51492482159463</v>
      </c>
      <c r="F310" s="10">
        <v>173249.04274777553</v>
      </c>
      <c r="G310" s="10">
        <v>221.97866021239503</v>
      </c>
      <c r="H310" s="10">
        <v>395374.45541111589</v>
      </c>
      <c r="I310" s="10">
        <v>393282.27511983918</v>
      </c>
      <c r="J310" s="10" t="s">
        <v>114</v>
      </c>
      <c r="K310" s="10" t="s">
        <v>114</v>
      </c>
      <c r="L310" s="10">
        <v>1.7875593406468995</v>
      </c>
      <c r="M310" s="10">
        <v>20.126232707082167</v>
      </c>
      <c r="N310" s="10">
        <v>32.105133295154715</v>
      </c>
      <c r="O310" s="10">
        <v>38.89358172934336</v>
      </c>
      <c r="P310" s="10" t="s">
        <v>114</v>
      </c>
      <c r="Q310" s="10" t="s">
        <v>114</v>
      </c>
      <c r="R310" s="10" t="s">
        <v>114</v>
      </c>
      <c r="S310" s="10" t="s">
        <v>114</v>
      </c>
      <c r="T310" s="10">
        <v>275.78674795627819</v>
      </c>
      <c r="U310" s="10">
        <v>263.86856291836654</v>
      </c>
      <c r="V310" s="10" t="s">
        <v>114</v>
      </c>
      <c r="W310" s="10" t="s">
        <v>114</v>
      </c>
      <c r="X310" s="10" t="s">
        <v>114</v>
      </c>
      <c r="Y310" s="10">
        <v>85.961685145259352</v>
      </c>
      <c r="Z310" s="10" t="s">
        <v>114</v>
      </c>
      <c r="AA310" s="10">
        <v>0.46474888518265739</v>
      </c>
      <c r="AB310" s="10">
        <v>0.53463844006808059</v>
      </c>
      <c r="AC310" s="10" t="s">
        <v>114</v>
      </c>
      <c r="AD310" s="10" t="s">
        <v>114</v>
      </c>
      <c r="AE310" s="10" t="s">
        <v>114</v>
      </c>
      <c r="AF310" s="10">
        <v>2.2548553568362481E-3</v>
      </c>
      <c r="AG310" s="10">
        <v>2.651271773887967</v>
      </c>
      <c r="AH310" s="10">
        <v>0.25790891738657901</v>
      </c>
      <c r="AI310" s="10">
        <v>0.56724019489493915</v>
      </c>
      <c r="AJ310" s="10">
        <v>5.878728976361651E-2</v>
      </c>
      <c r="AK310" s="10">
        <v>0.21407585276645064</v>
      </c>
      <c r="AL310" s="10">
        <v>5.1337668820180787E-2</v>
      </c>
      <c r="AM310" s="10">
        <v>1.1656048199983737E-2</v>
      </c>
      <c r="AN310" s="10">
        <v>6.4633639891568118E-2</v>
      </c>
      <c r="AO310" s="10" t="s">
        <v>114</v>
      </c>
      <c r="AP310" s="10">
        <v>4.6989403810972864E-2</v>
      </c>
      <c r="AQ310" s="10" t="s">
        <v>114</v>
      </c>
      <c r="AR310" s="10">
        <v>2.2261215628741338E-2</v>
      </c>
      <c r="AS310" s="10" t="s">
        <v>114</v>
      </c>
      <c r="AT310" s="10">
        <v>1.8518100274151576E-2</v>
      </c>
      <c r="AU310" s="10" t="s">
        <v>114</v>
      </c>
      <c r="AV310" s="10">
        <v>0.1915168574127189</v>
      </c>
      <c r="AW310" s="10">
        <v>24.941520200874081</v>
      </c>
      <c r="AX310" s="10" t="s">
        <v>114</v>
      </c>
      <c r="AY310" s="10" t="s">
        <v>114</v>
      </c>
      <c r="AZ310" s="10">
        <v>1.9606535577743121</v>
      </c>
      <c r="BA310" s="10">
        <v>1.7876719419596121</v>
      </c>
      <c r="BB310" s="10">
        <v>1.8654343548866141</v>
      </c>
      <c r="BC310" s="10" t="s">
        <v>114</v>
      </c>
      <c r="BD310" s="10">
        <v>8.0275552009753171E-2</v>
      </c>
    </row>
    <row r="311" spans="1:56" x14ac:dyDescent="0.3">
      <c r="A311" t="s">
        <v>395</v>
      </c>
      <c r="B311" t="s">
        <v>384</v>
      </c>
      <c r="C311" s="10">
        <v>6353.8042204254771</v>
      </c>
      <c r="D311" s="10">
        <v>2960.8186636524151</v>
      </c>
      <c r="E311" s="10">
        <v>149.12938091978174</v>
      </c>
      <c r="F311" s="10">
        <v>144904.90314894711</v>
      </c>
      <c r="G311" s="10">
        <v>166.7928040255685</v>
      </c>
      <c r="H311" s="10">
        <v>332027.40564401407</v>
      </c>
      <c r="I311" s="10">
        <v>329330.08197555144</v>
      </c>
      <c r="J311" s="10" t="s">
        <v>114</v>
      </c>
      <c r="K311" s="10">
        <v>0.46079223900468708</v>
      </c>
      <c r="L311" s="10">
        <v>1.89201378270403</v>
      </c>
      <c r="M311" s="10">
        <v>64.09318140771181</v>
      </c>
      <c r="N311" s="10">
        <v>27.515113410674697</v>
      </c>
      <c r="O311" s="10">
        <v>30.294121348586071</v>
      </c>
      <c r="P311" s="10" t="s">
        <v>114</v>
      </c>
      <c r="Q311" s="10">
        <v>7.3914383320533785</v>
      </c>
      <c r="R311" s="10" t="s">
        <v>114</v>
      </c>
      <c r="S311" s="10" t="s">
        <v>114</v>
      </c>
      <c r="T311" s="10">
        <v>116.93114427486883</v>
      </c>
      <c r="U311" s="10">
        <v>115.29192447834008</v>
      </c>
      <c r="V311" s="10" t="s">
        <v>114</v>
      </c>
      <c r="W311" s="10" t="s">
        <v>114</v>
      </c>
      <c r="X311" s="10" t="s">
        <v>114</v>
      </c>
      <c r="Y311" s="10">
        <v>228.01966783769592</v>
      </c>
      <c r="Z311" s="10" t="s">
        <v>114</v>
      </c>
      <c r="AA311" s="10">
        <v>0.37060917338216753</v>
      </c>
      <c r="AB311" s="10">
        <v>0.32293100503144251</v>
      </c>
      <c r="AC311" s="10" t="s">
        <v>114</v>
      </c>
      <c r="AD311" s="10" t="s">
        <v>114</v>
      </c>
      <c r="AE311" s="10" t="s">
        <v>114</v>
      </c>
      <c r="AF311" s="10">
        <v>2.3873415905001356E-3</v>
      </c>
      <c r="AG311" s="10">
        <v>12.705457386782784</v>
      </c>
      <c r="AH311" s="10">
        <v>2.350849287712941E-2</v>
      </c>
      <c r="AI311" s="10" t="s">
        <v>114</v>
      </c>
      <c r="AJ311" s="10" t="s">
        <v>114</v>
      </c>
      <c r="AK311" s="10" t="s">
        <v>114</v>
      </c>
      <c r="AL311" s="10" t="s">
        <v>114</v>
      </c>
      <c r="AM311" s="10" t="s">
        <v>114</v>
      </c>
      <c r="AN311" s="10" t="s">
        <v>114</v>
      </c>
      <c r="AO311" s="10" t="s">
        <v>114</v>
      </c>
      <c r="AP311" s="10" t="s">
        <v>114</v>
      </c>
      <c r="AQ311" s="10" t="s">
        <v>114</v>
      </c>
      <c r="AR311" s="10" t="s">
        <v>114</v>
      </c>
      <c r="AS311" s="10" t="s">
        <v>114</v>
      </c>
      <c r="AT311" s="10" t="s">
        <v>114</v>
      </c>
      <c r="AU311" s="10" t="s">
        <v>114</v>
      </c>
      <c r="AV311" s="10">
        <v>0.20083860115813457</v>
      </c>
      <c r="AW311" s="10">
        <v>24.235516900980578</v>
      </c>
      <c r="AX311" s="10" t="s">
        <v>114</v>
      </c>
      <c r="AY311" s="10" t="s">
        <v>114</v>
      </c>
      <c r="AZ311" s="10" t="s">
        <v>114</v>
      </c>
      <c r="BA311" s="10" t="s">
        <v>114</v>
      </c>
      <c r="BB311" s="10" t="s">
        <v>114</v>
      </c>
      <c r="BC311" s="10" t="s">
        <v>114</v>
      </c>
      <c r="BD311" s="10">
        <v>1.80192300131283</v>
      </c>
    </row>
    <row r="312" spans="1:56" x14ac:dyDescent="0.3">
      <c r="A312" t="s">
        <v>396</v>
      </c>
      <c r="B312" t="s">
        <v>384</v>
      </c>
      <c r="C312" s="10">
        <v>5647.4307547748103</v>
      </c>
      <c r="D312" s="10">
        <v>3437.9689040984367</v>
      </c>
      <c r="E312" s="10">
        <v>110.9683753112041</v>
      </c>
      <c r="F312" s="10">
        <v>144197.54767824241</v>
      </c>
      <c r="G312" s="10">
        <v>201.00416810598466</v>
      </c>
      <c r="H312" s="10">
        <v>324493.68247160327</v>
      </c>
      <c r="I312" s="10">
        <v>322827.071806219</v>
      </c>
      <c r="J312" s="10" t="s">
        <v>114</v>
      </c>
      <c r="K312" s="10" t="s">
        <v>114</v>
      </c>
      <c r="L312" s="10">
        <v>0.94387867221567212</v>
      </c>
      <c r="M312" s="10">
        <v>17.624614708659568</v>
      </c>
      <c r="N312" s="10" t="s">
        <v>114</v>
      </c>
      <c r="O312" s="10" t="s">
        <v>114</v>
      </c>
      <c r="P312" s="10" t="s">
        <v>114</v>
      </c>
      <c r="Q312" s="10">
        <v>63.603154258651323</v>
      </c>
      <c r="R312" s="10" t="s">
        <v>114</v>
      </c>
      <c r="S312" s="10" t="s">
        <v>114</v>
      </c>
      <c r="T312" s="10">
        <v>177.45786454651468</v>
      </c>
      <c r="U312" s="10">
        <v>168.29030576052116</v>
      </c>
      <c r="V312" s="10" t="s">
        <v>114</v>
      </c>
      <c r="W312" s="10" t="s">
        <v>114</v>
      </c>
      <c r="X312" s="10" t="s">
        <v>114</v>
      </c>
      <c r="Y312" s="10">
        <v>122.4726463141664</v>
      </c>
      <c r="Z312" s="10" t="s">
        <v>114</v>
      </c>
      <c r="AA312" s="10">
        <v>1.2254845022684286</v>
      </c>
      <c r="AB312" s="10">
        <v>1.1971095684243342</v>
      </c>
      <c r="AC312" s="10" t="s">
        <v>114</v>
      </c>
      <c r="AD312" s="10" t="s">
        <v>114</v>
      </c>
      <c r="AE312" s="10" t="s">
        <v>114</v>
      </c>
      <c r="AF312" s="10">
        <v>4.8099814835115351E-3</v>
      </c>
      <c r="AG312" s="10">
        <v>1.5583657425797415</v>
      </c>
      <c r="AH312" s="10">
        <v>6.1061178584443876E-2</v>
      </c>
      <c r="AI312" s="10">
        <v>0.14409073986400214</v>
      </c>
      <c r="AJ312" s="10">
        <v>1.8242510767635178E-2</v>
      </c>
      <c r="AK312" s="10">
        <v>6.3768607033319907E-2</v>
      </c>
      <c r="AL312" s="10" t="s">
        <v>114</v>
      </c>
      <c r="AM312" s="10" t="s">
        <v>114</v>
      </c>
      <c r="AN312" s="10">
        <v>1.6067492785231355E-2</v>
      </c>
      <c r="AO312" s="10" t="s">
        <v>114</v>
      </c>
      <c r="AP312" s="10">
        <v>1.327456453433826E-2</v>
      </c>
      <c r="AQ312" s="10" t="s">
        <v>114</v>
      </c>
      <c r="AR312" s="10" t="s">
        <v>114</v>
      </c>
      <c r="AS312" s="10" t="s">
        <v>114</v>
      </c>
      <c r="AT312" s="10" t="s">
        <v>114</v>
      </c>
      <c r="AU312" s="10" t="s">
        <v>114</v>
      </c>
      <c r="AV312" s="10">
        <v>0.53698109690352025</v>
      </c>
      <c r="AW312" s="10">
        <v>24.83887067215235</v>
      </c>
      <c r="AX312" s="10" t="s">
        <v>114</v>
      </c>
      <c r="AY312" s="10" t="s">
        <v>114</v>
      </c>
      <c r="AZ312" s="10" t="s">
        <v>114</v>
      </c>
      <c r="BA312" s="10" t="s">
        <v>114</v>
      </c>
      <c r="BB312" s="10" t="s">
        <v>114</v>
      </c>
      <c r="BC312" s="10">
        <v>0.37362508780371612</v>
      </c>
      <c r="BD312" s="10" t="s">
        <v>114</v>
      </c>
    </row>
    <row r="313" spans="1:56" x14ac:dyDescent="0.3">
      <c r="A313" t="s">
        <v>397</v>
      </c>
      <c r="B313" t="s">
        <v>384</v>
      </c>
      <c r="C313" s="10">
        <v>5764.5441939258944</v>
      </c>
      <c r="D313" s="10">
        <v>2838.3002222265663</v>
      </c>
      <c r="E313" s="10">
        <v>93.061071178896697</v>
      </c>
      <c r="F313" s="10">
        <v>167370.78579589835</v>
      </c>
      <c r="G313" s="10">
        <v>168.87036648482686</v>
      </c>
      <c r="H313" s="10">
        <v>381707.75033945171</v>
      </c>
      <c r="I313" s="10">
        <v>377691.36956201406</v>
      </c>
      <c r="J313" s="10" t="s">
        <v>114</v>
      </c>
      <c r="K313" s="10" t="s">
        <v>114</v>
      </c>
      <c r="L313" s="10">
        <v>0.81114230924398645</v>
      </c>
      <c r="M313" s="10">
        <v>19.533048161801361</v>
      </c>
      <c r="N313" s="10">
        <v>9.1595152045370725</v>
      </c>
      <c r="O313" s="10">
        <v>14.76273613195937</v>
      </c>
      <c r="P313" s="10" t="s">
        <v>114</v>
      </c>
      <c r="Q313" s="10">
        <v>61.854931975925943</v>
      </c>
      <c r="R313" s="10" t="s">
        <v>114</v>
      </c>
      <c r="S313" s="10" t="s">
        <v>114</v>
      </c>
      <c r="T313" s="10">
        <v>287.88947752289056</v>
      </c>
      <c r="U313" s="10">
        <v>274.32067944408851</v>
      </c>
      <c r="V313" s="10" t="s">
        <v>114</v>
      </c>
      <c r="W313" s="10" t="s">
        <v>114</v>
      </c>
      <c r="X313" s="10" t="s">
        <v>114</v>
      </c>
      <c r="Y313" s="10">
        <v>114.80067918956412</v>
      </c>
      <c r="Z313" s="10" t="s">
        <v>114</v>
      </c>
      <c r="AA313" s="10">
        <v>0.68083152066316888</v>
      </c>
      <c r="AB313" s="10">
        <v>0.68666531895987482</v>
      </c>
      <c r="AC313" s="10" t="s">
        <v>114</v>
      </c>
      <c r="AD313" s="10" t="s">
        <v>114</v>
      </c>
      <c r="AE313" s="10" t="s">
        <v>114</v>
      </c>
      <c r="AF313" s="10">
        <v>1.5477635989413687E-3</v>
      </c>
      <c r="AG313" s="10">
        <v>3.1425188042898267</v>
      </c>
      <c r="AH313" s="10">
        <v>2.2438311277698367E-2</v>
      </c>
      <c r="AI313" s="10" t="s">
        <v>114</v>
      </c>
      <c r="AJ313" s="10" t="s">
        <v>114</v>
      </c>
      <c r="AK313" s="10" t="s">
        <v>114</v>
      </c>
      <c r="AL313" s="10" t="s">
        <v>114</v>
      </c>
      <c r="AM313" s="10" t="s">
        <v>114</v>
      </c>
      <c r="AN313" s="10" t="s">
        <v>114</v>
      </c>
      <c r="AO313" s="10" t="s">
        <v>114</v>
      </c>
      <c r="AP313" s="10" t="s">
        <v>114</v>
      </c>
      <c r="AQ313" s="10" t="s">
        <v>114</v>
      </c>
      <c r="AR313" s="10" t="s">
        <v>114</v>
      </c>
      <c r="AS313" s="10" t="s">
        <v>114</v>
      </c>
      <c r="AT313" s="10" t="s">
        <v>114</v>
      </c>
      <c r="AU313" s="10" t="s">
        <v>114</v>
      </c>
      <c r="AV313" s="10">
        <v>0.3197245677363611</v>
      </c>
      <c r="AW313" s="10">
        <v>23.428184738020015</v>
      </c>
      <c r="AX313" s="10" t="s">
        <v>114</v>
      </c>
      <c r="AY313" s="10" t="s">
        <v>114</v>
      </c>
      <c r="AZ313" s="10" t="s">
        <v>114</v>
      </c>
      <c r="BA313" s="10" t="s">
        <v>114</v>
      </c>
      <c r="BB313" s="10" t="s">
        <v>114</v>
      </c>
      <c r="BC313" s="10" t="s">
        <v>114</v>
      </c>
      <c r="BD313" s="10" t="s">
        <v>114</v>
      </c>
    </row>
    <row r="314" spans="1:56" x14ac:dyDescent="0.3">
      <c r="A314" t="s">
        <v>398</v>
      </c>
      <c r="B314" t="s">
        <v>384</v>
      </c>
      <c r="C314" s="10">
        <v>8339.6879826456552</v>
      </c>
      <c r="D314" s="10">
        <v>3814.8019714691764</v>
      </c>
      <c r="E314" s="10">
        <v>63.904565108358305</v>
      </c>
      <c r="F314" s="10">
        <v>170022.4696930006</v>
      </c>
      <c r="G314" s="10">
        <v>280.91979168805796</v>
      </c>
      <c r="H314" s="10">
        <v>384747.86560845771</v>
      </c>
      <c r="I314" s="10">
        <v>383399.43422993994</v>
      </c>
      <c r="J314" s="10" t="s">
        <v>114</v>
      </c>
      <c r="K314" s="10" t="s">
        <v>114</v>
      </c>
      <c r="L314" s="10">
        <v>1.2102951113043519</v>
      </c>
      <c r="M314" s="10">
        <v>29.289770042798526</v>
      </c>
      <c r="N314" s="10">
        <v>57.854128958791264</v>
      </c>
      <c r="O314" s="10">
        <v>64.851712448999265</v>
      </c>
      <c r="P314" s="10" t="s">
        <v>114</v>
      </c>
      <c r="Q314" s="10" t="s">
        <v>114</v>
      </c>
      <c r="R314" s="10" t="s">
        <v>114</v>
      </c>
      <c r="S314" s="10" t="s">
        <v>114</v>
      </c>
      <c r="T314" s="10">
        <v>135.09039613117895</v>
      </c>
      <c r="U314" s="10">
        <v>130.2134286052729</v>
      </c>
      <c r="V314" s="10" t="s">
        <v>114</v>
      </c>
      <c r="W314" s="10" t="s">
        <v>114</v>
      </c>
      <c r="X314" s="10" t="s">
        <v>114</v>
      </c>
      <c r="Y314" s="10">
        <v>252.86453312091459</v>
      </c>
      <c r="Z314" s="10" t="s">
        <v>114</v>
      </c>
      <c r="AA314" s="10">
        <v>0.75071705206366834</v>
      </c>
      <c r="AB314" s="10">
        <v>0.68490353241500779</v>
      </c>
      <c r="AC314" s="10" t="s">
        <v>114</v>
      </c>
      <c r="AD314" s="10" t="s">
        <v>114</v>
      </c>
      <c r="AE314" s="10" t="s">
        <v>114</v>
      </c>
      <c r="AF314" s="10">
        <v>2.0638709295560452E-3</v>
      </c>
      <c r="AG314" s="10">
        <v>5.7246341050055296</v>
      </c>
      <c r="AH314" s="10">
        <v>5.3091535761510614E-2</v>
      </c>
      <c r="AI314" s="10">
        <v>0.11710926011150759</v>
      </c>
      <c r="AJ314" s="10">
        <v>1.1972421248223602E-2</v>
      </c>
      <c r="AK314" s="10">
        <v>5.4544426345054638E-2</v>
      </c>
      <c r="AL314" s="10" t="s">
        <v>114</v>
      </c>
      <c r="AM314" s="10" t="s">
        <v>114</v>
      </c>
      <c r="AN314" s="10">
        <v>1.4025215258491489E-2</v>
      </c>
      <c r="AO314" s="10" t="s">
        <v>114</v>
      </c>
      <c r="AP314" s="10" t="s">
        <v>114</v>
      </c>
      <c r="AQ314" s="10" t="s">
        <v>114</v>
      </c>
      <c r="AR314" s="10" t="s">
        <v>114</v>
      </c>
      <c r="AS314" s="10" t="s">
        <v>114</v>
      </c>
      <c r="AT314" s="10" t="s">
        <v>114</v>
      </c>
      <c r="AU314" s="10" t="s">
        <v>114</v>
      </c>
      <c r="AV314" s="10">
        <v>0.26573967435548951</v>
      </c>
      <c r="AW314" s="10">
        <v>22.635146968193705</v>
      </c>
      <c r="AX314" s="10" t="s">
        <v>114</v>
      </c>
      <c r="AY314" s="10" t="s">
        <v>114</v>
      </c>
      <c r="AZ314" s="10" t="s">
        <v>114</v>
      </c>
      <c r="BA314" s="10" t="s">
        <v>114</v>
      </c>
      <c r="BB314" s="10" t="s">
        <v>114</v>
      </c>
      <c r="BC314" s="10" t="s">
        <v>114</v>
      </c>
      <c r="BD314" s="10">
        <v>9.385850017629907E-2</v>
      </c>
    </row>
    <row r="315" spans="1:56" x14ac:dyDescent="0.3">
      <c r="A315" t="s">
        <v>399</v>
      </c>
      <c r="B315" t="s">
        <v>384</v>
      </c>
      <c r="C315" s="10">
        <v>6822.6560985297019</v>
      </c>
      <c r="D315" s="10">
        <v>3128.7501744347505</v>
      </c>
      <c r="E315" s="10">
        <v>136.59819845504708</v>
      </c>
      <c r="F315" s="10">
        <v>166758.49313258423</v>
      </c>
      <c r="G315" s="10">
        <v>208.69903427745362</v>
      </c>
      <c r="H315" s="10">
        <v>378704.01643341774</v>
      </c>
      <c r="I315" s="10">
        <v>377559.1477120106</v>
      </c>
      <c r="J315" s="10">
        <v>21.161280371330911</v>
      </c>
      <c r="K315" s="10" t="s">
        <v>114</v>
      </c>
      <c r="L315" s="10">
        <v>1.4894252085435222</v>
      </c>
      <c r="M315" s="10">
        <v>39.231625836254857</v>
      </c>
      <c r="N315" s="10">
        <v>9.7134801706431979</v>
      </c>
      <c r="O315" s="10">
        <v>14.109602401427374</v>
      </c>
      <c r="P315" s="10" t="s">
        <v>114</v>
      </c>
      <c r="Q315" s="10">
        <v>53.089222825141348</v>
      </c>
      <c r="R315" s="10" t="s">
        <v>114</v>
      </c>
      <c r="S315" s="10" t="s">
        <v>114</v>
      </c>
      <c r="T315" s="10">
        <v>174.48724703516686</v>
      </c>
      <c r="U315" s="10">
        <v>165.86712094206857</v>
      </c>
      <c r="V315" s="10" t="s">
        <v>114</v>
      </c>
      <c r="W315" s="10" t="s">
        <v>114</v>
      </c>
      <c r="X315" s="10" t="s">
        <v>114</v>
      </c>
      <c r="Y315" s="10">
        <v>153.91377923324163</v>
      </c>
      <c r="Z315" s="10" t="s">
        <v>114</v>
      </c>
      <c r="AA315" s="10">
        <v>0.61126375943660771</v>
      </c>
      <c r="AB315" s="10">
        <v>0.58088511191959014</v>
      </c>
      <c r="AC315" s="10" t="s">
        <v>114</v>
      </c>
      <c r="AD315" s="10" t="s">
        <v>114</v>
      </c>
      <c r="AE315" s="10" t="s">
        <v>114</v>
      </c>
      <c r="AF315" s="10">
        <v>1.812071156832061E-3</v>
      </c>
      <c r="AG315" s="10">
        <v>6.1716854368028118</v>
      </c>
      <c r="AH315" s="10">
        <v>0.3999397108691588</v>
      </c>
      <c r="AI315" s="10">
        <v>0.86661363801457825</v>
      </c>
      <c r="AJ315" s="10">
        <v>8.8735676122997154E-2</v>
      </c>
      <c r="AK315" s="10">
        <v>0.42740884914967897</v>
      </c>
      <c r="AL315" s="10">
        <v>7.1915643013036004E-2</v>
      </c>
      <c r="AM315" s="10">
        <v>1.5267864456179E-2</v>
      </c>
      <c r="AN315" s="10">
        <v>8.6417088508671261E-2</v>
      </c>
      <c r="AO315" s="10" t="s">
        <v>114</v>
      </c>
      <c r="AP315" s="10">
        <v>8.497202252296418E-2</v>
      </c>
      <c r="AQ315" s="10" t="s">
        <v>114</v>
      </c>
      <c r="AR315" s="10">
        <v>4.2493766011901385E-2</v>
      </c>
      <c r="AS315" s="10">
        <v>4.2760851929699098E-3</v>
      </c>
      <c r="AT315" s="10">
        <v>3.4051624970699745E-2</v>
      </c>
      <c r="AU315" s="10">
        <v>4.7853742696574685E-3</v>
      </c>
      <c r="AV315" s="10">
        <v>0.20569658039748978</v>
      </c>
      <c r="AW315" s="10">
        <v>23.845597732110274</v>
      </c>
      <c r="AX315" s="10" t="s">
        <v>114</v>
      </c>
      <c r="AY315" s="10" t="s">
        <v>114</v>
      </c>
      <c r="AZ315" s="10" t="s">
        <v>114</v>
      </c>
      <c r="BA315" s="10" t="s">
        <v>114</v>
      </c>
      <c r="BB315" s="10" t="s">
        <v>114</v>
      </c>
      <c r="BC315" s="10" t="s">
        <v>114</v>
      </c>
      <c r="BD315" s="10">
        <v>0.20900225334266137</v>
      </c>
    </row>
    <row r="316" spans="1:56" x14ac:dyDescent="0.3">
      <c r="A316" t="s">
        <v>400</v>
      </c>
      <c r="B316" t="s">
        <v>384</v>
      </c>
      <c r="C316" s="10">
        <v>8852.2430775499797</v>
      </c>
      <c r="D316" s="10">
        <v>3404.78466453175</v>
      </c>
      <c r="E316" s="10">
        <v>147.88485522106484</v>
      </c>
      <c r="F316" s="10">
        <v>171286.96058048843</v>
      </c>
      <c r="G316" s="10">
        <v>255.5081598483977</v>
      </c>
      <c r="H316" s="10">
        <v>390409.67663105222</v>
      </c>
      <c r="I316" s="10">
        <v>384114.13662895409</v>
      </c>
      <c r="J316" s="10">
        <v>145.94263310098594</v>
      </c>
      <c r="K316" s="10" t="s">
        <v>114</v>
      </c>
      <c r="L316" s="10">
        <v>1.3032634604046474</v>
      </c>
      <c r="M316" s="10">
        <v>31.172158727929162</v>
      </c>
      <c r="N316" s="10">
        <v>36.108060188769677</v>
      </c>
      <c r="O316" s="10">
        <v>41.369806759929375</v>
      </c>
      <c r="P316" s="10" t="s">
        <v>114</v>
      </c>
      <c r="Q316" s="10" t="s">
        <v>114</v>
      </c>
      <c r="R316" s="10">
        <v>52.398690735053833</v>
      </c>
      <c r="S316" s="10">
        <v>53.095536019805259</v>
      </c>
      <c r="T316" s="10">
        <v>163.17419376084709</v>
      </c>
      <c r="U316" s="10">
        <v>155.69174829532608</v>
      </c>
      <c r="V316" s="10" t="s">
        <v>114</v>
      </c>
      <c r="W316" s="10" t="s">
        <v>114</v>
      </c>
      <c r="X316" s="10" t="s">
        <v>114</v>
      </c>
      <c r="Y316" s="10">
        <v>129.73614207715528</v>
      </c>
      <c r="Z316" s="10" t="s">
        <v>114</v>
      </c>
      <c r="AA316" s="10">
        <v>0.40118669260102008</v>
      </c>
      <c r="AB316" s="10">
        <v>0.40155003359931285</v>
      </c>
      <c r="AC316" s="10" t="s">
        <v>114</v>
      </c>
      <c r="AD316" s="10" t="s">
        <v>114</v>
      </c>
      <c r="AE316" s="10" t="s">
        <v>114</v>
      </c>
      <c r="AF316" s="10">
        <v>3.9757292418229322E-3</v>
      </c>
      <c r="AG316" s="10">
        <v>3.4899279468641415</v>
      </c>
      <c r="AH316" s="10">
        <v>0.14278428995366699</v>
      </c>
      <c r="AI316" s="10">
        <v>0.40681223097349689</v>
      </c>
      <c r="AJ316" s="10">
        <v>3.7280516055049139E-2</v>
      </c>
      <c r="AK316" s="10">
        <v>0.16827103558067061</v>
      </c>
      <c r="AL316" s="10" t="s">
        <v>114</v>
      </c>
      <c r="AM316" s="10" t="s">
        <v>114</v>
      </c>
      <c r="AN316" s="10">
        <v>4.3544739765652075E-2</v>
      </c>
      <c r="AO316" s="10" t="s">
        <v>114</v>
      </c>
      <c r="AP316" s="10">
        <v>4.2512091082298045E-2</v>
      </c>
      <c r="AQ316" s="10" t="s">
        <v>114</v>
      </c>
      <c r="AR316" s="10">
        <v>2.4852734140605442E-2</v>
      </c>
      <c r="AS316" s="10" t="s">
        <v>114</v>
      </c>
      <c r="AT316" s="10">
        <v>2.1172988334039362E-2</v>
      </c>
      <c r="AU316" s="10">
        <v>3.332518184712285E-3</v>
      </c>
      <c r="AV316" s="10">
        <v>0.25650077358262818</v>
      </c>
      <c r="AW316" s="10">
        <v>24.509174272871697</v>
      </c>
      <c r="AX316" s="10" t="s">
        <v>114</v>
      </c>
      <c r="AY316" s="10" t="s">
        <v>114</v>
      </c>
      <c r="AZ316" s="10" t="s">
        <v>114</v>
      </c>
      <c r="BA316" s="10" t="s">
        <v>114</v>
      </c>
      <c r="BB316" s="10" t="s">
        <v>114</v>
      </c>
      <c r="BC316" s="10" t="s">
        <v>114</v>
      </c>
      <c r="BD316" s="10">
        <v>8.6389075327572132E-2</v>
      </c>
    </row>
    <row r="317" spans="1:56" x14ac:dyDescent="0.3">
      <c r="A317" t="s">
        <v>401</v>
      </c>
      <c r="B317" t="s">
        <v>384</v>
      </c>
      <c r="C317" s="10">
        <v>6102.1631989509351</v>
      </c>
      <c r="D317" s="10">
        <v>2700.9080565950267</v>
      </c>
      <c r="E317" s="10">
        <v>143.1680404963671</v>
      </c>
      <c r="F317" s="10">
        <v>144212.3656621658</v>
      </c>
      <c r="G317" s="10">
        <v>232.79015692762886</v>
      </c>
      <c r="H317" s="10">
        <v>325788.00552925467</v>
      </c>
      <c r="I317" s="10">
        <v>326862.55320470344</v>
      </c>
      <c r="J317" s="10" t="s">
        <v>114</v>
      </c>
      <c r="K317" s="10" t="s">
        <v>114</v>
      </c>
      <c r="L317" s="10">
        <v>0.97329233344419186</v>
      </c>
      <c r="M317" s="10">
        <v>30.727840222241866</v>
      </c>
      <c r="N317" s="10">
        <v>24.218268169216859</v>
      </c>
      <c r="O317" s="10">
        <v>26.867060071002097</v>
      </c>
      <c r="P317" s="10" t="s">
        <v>114</v>
      </c>
      <c r="Q317" s="10">
        <v>1.3121173945639748</v>
      </c>
      <c r="R317" s="10">
        <v>11.719685660780778</v>
      </c>
      <c r="S317" s="10">
        <v>11.732460071231403</v>
      </c>
      <c r="T317" s="10">
        <v>128.80717325404134</v>
      </c>
      <c r="U317" s="10">
        <v>122.11405838891389</v>
      </c>
      <c r="V317" s="10" t="s">
        <v>114</v>
      </c>
      <c r="W317" s="10" t="s">
        <v>114</v>
      </c>
      <c r="X317" s="10" t="s">
        <v>114</v>
      </c>
      <c r="Y317" s="10">
        <v>297.28416059654342</v>
      </c>
      <c r="Z317" s="10" t="s">
        <v>114</v>
      </c>
      <c r="AA317" s="10">
        <v>0.33089958141972142</v>
      </c>
      <c r="AB317" s="10">
        <v>0.33871443819716429</v>
      </c>
      <c r="AC317" s="10" t="s">
        <v>114</v>
      </c>
      <c r="AD317" s="10" t="s">
        <v>114</v>
      </c>
      <c r="AE317" s="10" t="s">
        <v>114</v>
      </c>
      <c r="AF317" s="10">
        <v>1.8625351460502034E-3</v>
      </c>
      <c r="AG317" s="10">
        <v>2.5343183667619891</v>
      </c>
      <c r="AH317" s="10">
        <v>0.41469037048926866</v>
      </c>
      <c r="AI317" s="10">
        <v>0.83002534009088347</v>
      </c>
      <c r="AJ317" s="10">
        <v>8.1161267675901649E-2</v>
      </c>
      <c r="AK317" s="10">
        <v>0.37830779283794558</v>
      </c>
      <c r="AL317" s="10">
        <v>9.2511319485120078E-2</v>
      </c>
      <c r="AM317" s="10">
        <v>2.1573463488179182E-2</v>
      </c>
      <c r="AN317" s="10">
        <v>9.3833543730594021E-2</v>
      </c>
      <c r="AO317" s="10" t="s">
        <v>114</v>
      </c>
      <c r="AP317" s="10">
        <v>0.10002561699166664</v>
      </c>
      <c r="AQ317" s="10" t="s">
        <v>114</v>
      </c>
      <c r="AR317" s="10">
        <v>6.2976320934050062E-2</v>
      </c>
      <c r="AS317" s="10">
        <v>8.0933581047463159E-3</v>
      </c>
      <c r="AT317" s="10">
        <v>3.8253803525769958E-2</v>
      </c>
      <c r="AU317" s="10">
        <v>5.3280386084984558E-3</v>
      </c>
      <c r="AV317" s="10">
        <v>0.13376825939183401</v>
      </c>
      <c r="AW317" s="10">
        <v>23.66305998326623</v>
      </c>
      <c r="AX317" s="10" t="s">
        <v>114</v>
      </c>
      <c r="AY317" s="10" t="s">
        <v>114</v>
      </c>
      <c r="AZ317" s="10">
        <v>4.8651015356671659</v>
      </c>
      <c r="BA317" s="10">
        <v>4.3193958557217131</v>
      </c>
      <c r="BB317" s="10">
        <v>4.4860075821252039</v>
      </c>
      <c r="BC317" s="10" t="s">
        <v>114</v>
      </c>
      <c r="BD317" s="10">
        <v>0.14631691635121924</v>
      </c>
    </row>
    <row r="318" spans="1:56" x14ac:dyDescent="0.3">
      <c r="A318" t="s">
        <v>402</v>
      </c>
      <c r="B318" t="s">
        <v>384</v>
      </c>
      <c r="C318" s="10">
        <v>7638.0559808782937</v>
      </c>
      <c r="D318" s="10">
        <v>3163.6638256985634</v>
      </c>
      <c r="E318" s="10">
        <v>67.754623972915965</v>
      </c>
      <c r="F318" s="10">
        <v>148283.38610327762</v>
      </c>
      <c r="G318" s="10">
        <v>295.54267016167972</v>
      </c>
      <c r="H318" s="10">
        <v>338705.79970325367</v>
      </c>
      <c r="I318" s="10">
        <v>334449.95406859234</v>
      </c>
      <c r="J318" s="10">
        <v>140.99848699029533</v>
      </c>
      <c r="K318" s="10">
        <v>0.25366838557897403</v>
      </c>
      <c r="L318" s="10">
        <v>1.168865390849491</v>
      </c>
      <c r="M318" s="10">
        <v>24.235402970693851</v>
      </c>
      <c r="N318" s="10">
        <v>12.600391291870899</v>
      </c>
      <c r="O318" s="10">
        <v>19.244695870669972</v>
      </c>
      <c r="P318" s="10" t="s">
        <v>114</v>
      </c>
      <c r="Q318" s="10" t="s">
        <v>114</v>
      </c>
      <c r="R318" s="10" t="s">
        <v>114</v>
      </c>
      <c r="S318" s="10" t="s">
        <v>114</v>
      </c>
      <c r="T318" s="10">
        <v>60.875416009340462</v>
      </c>
      <c r="U318" s="10">
        <v>57.819867998692096</v>
      </c>
      <c r="V318" s="10" t="s">
        <v>114</v>
      </c>
      <c r="W318" s="10" t="s">
        <v>114</v>
      </c>
      <c r="X318" s="10" t="s">
        <v>114</v>
      </c>
      <c r="Y318" s="10">
        <v>129.59592799235952</v>
      </c>
      <c r="Z318" s="10" t="s">
        <v>114</v>
      </c>
      <c r="AA318" s="10">
        <v>1.175585291734401</v>
      </c>
      <c r="AB318" s="10">
        <v>1.0709656349984882</v>
      </c>
      <c r="AC318" s="10" t="s">
        <v>114</v>
      </c>
      <c r="AD318" s="10" t="s">
        <v>114</v>
      </c>
      <c r="AE318" s="10" t="s">
        <v>114</v>
      </c>
      <c r="AF318" s="10">
        <v>5.4540151597042901E-3</v>
      </c>
      <c r="AG318" s="10">
        <v>2.8122327053625642</v>
      </c>
      <c r="AH318" s="10">
        <v>0.12298612801847765</v>
      </c>
      <c r="AI318" s="10">
        <v>0.29835390921304744</v>
      </c>
      <c r="AJ318" s="10">
        <v>2.437315606657928E-2</v>
      </c>
      <c r="AK318" s="10">
        <v>9.1933923162209372E-2</v>
      </c>
      <c r="AL318" s="10" t="s">
        <v>114</v>
      </c>
      <c r="AM318" s="10" t="s">
        <v>114</v>
      </c>
      <c r="AN318" s="10">
        <v>2.5832511312056734E-2</v>
      </c>
      <c r="AO318" s="10" t="s">
        <v>114</v>
      </c>
      <c r="AP318" s="10">
        <v>2.7553392881384392E-2</v>
      </c>
      <c r="AQ318" s="10" t="s">
        <v>114</v>
      </c>
      <c r="AR318" s="10">
        <v>2.0323233678636036E-2</v>
      </c>
      <c r="AS318" s="10" t="s">
        <v>114</v>
      </c>
      <c r="AT318" s="10">
        <v>1.6232837147486724E-2</v>
      </c>
      <c r="AU318" s="10" t="s">
        <v>114</v>
      </c>
      <c r="AV318" s="10">
        <v>0.5103213816886214</v>
      </c>
      <c r="AW318" s="10">
        <v>23.550733718740538</v>
      </c>
      <c r="AX318" s="10" t="s">
        <v>114</v>
      </c>
      <c r="AY318" s="10" t="s">
        <v>114</v>
      </c>
      <c r="AZ318" s="10" t="s">
        <v>114</v>
      </c>
      <c r="BA318" s="10" t="s">
        <v>114</v>
      </c>
      <c r="BB318" s="10" t="s">
        <v>114</v>
      </c>
      <c r="BC318" s="10">
        <v>0.26323043341155489</v>
      </c>
      <c r="BD318" s="10">
        <v>0.1601429583696001</v>
      </c>
    </row>
    <row r="319" spans="1:56" x14ac:dyDescent="0.3">
      <c r="A319" t="s">
        <v>403</v>
      </c>
      <c r="B319" t="s">
        <v>384</v>
      </c>
      <c r="C319" s="10">
        <v>6645.1539458360894</v>
      </c>
      <c r="D319" s="10">
        <v>3179.76401809459</v>
      </c>
      <c r="E319" s="10">
        <v>181.57622175194243</v>
      </c>
      <c r="F319" s="10">
        <v>150670.79213598892</v>
      </c>
      <c r="G319" s="10">
        <v>212.8927672389778</v>
      </c>
      <c r="H319" s="10">
        <v>342606.56045219471</v>
      </c>
      <c r="I319" s="10">
        <v>342905.02968905837</v>
      </c>
      <c r="J319" s="10" t="s">
        <v>114</v>
      </c>
      <c r="K319" s="10">
        <v>0.31686275833544342</v>
      </c>
      <c r="L319" s="10">
        <v>1.8667696701820964</v>
      </c>
      <c r="M319" s="10">
        <v>24.992418819392327</v>
      </c>
      <c r="N319" s="10">
        <v>39.813667859768593</v>
      </c>
      <c r="O319" s="10">
        <v>42.005753584558192</v>
      </c>
      <c r="P319" s="10" t="s">
        <v>114</v>
      </c>
      <c r="Q319" s="10" t="s">
        <v>114</v>
      </c>
      <c r="R319" s="10" t="s">
        <v>114</v>
      </c>
      <c r="S319" s="10" t="s">
        <v>114</v>
      </c>
      <c r="T319" s="10">
        <v>179.6239009601253</v>
      </c>
      <c r="U319" s="10">
        <v>168.85137923921388</v>
      </c>
      <c r="V319" s="10" t="s">
        <v>114</v>
      </c>
      <c r="W319" s="10" t="s">
        <v>114</v>
      </c>
      <c r="X319" s="10" t="s">
        <v>114</v>
      </c>
      <c r="Y319" s="10">
        <v>247.19959572613791</v>
      </c>
      <c r="Z319" s="10" t="s">
        <v>114</v>
      </c>
      <c r="AA319" s="10">
        <v>0.73968999221893816</v>
      </c>
      <c r="AB319" s="10">
        <v>0.76516320562947548</v>
      </c>
      <c r="AC319" s="10" t="s">
        <v>114</v>
      </c>
      <c r="AD319" s="10" t="s">
        <v>114</v>
      </c>
      <c r="AE319" s="10" t="s">
        <v>114</v>
      </c>
      <c r="AF319" s="10">
        <v>1.7525041351816801E-3</v>
      </c>
      <c r="AG319" s="10">
        <v>4.8514507833081506</v>
      </c>
      <c r="AH319" s="10">
        <v>3.6919893024533114E-2</v>
      </c>
      <c r="AI319" s="10" t="s">
        <v>114</v>
      </c>
      <c r="AJ319" s="10" t="s">
        <v>114</v>
      </c>
      <c r="AK319" s="10">
        <v>3.6672683381971778E-2</v>
      </c>
      <c r="AL319" s="10" t="s">
        <v>114</v>
      </c>
      <c r="AM319" s="10" t="s">
        <v>114</v>
      </c>
      <c r="AN319" s="10" t="s">
        <v>114</v>
      </c>
      <c r="AO319" s="10" t="s">
        <v>114</v>
      </c>
      <c r="AP319" s="10">
        <v>9.8159964349610902E-3</v>
      </c>
      <c r="AQ319" s="10" t="s">
        <v>114</v>
      </c>
      <c r="AR319" s="10" t="s">
        <v>114</v>
      </c>
      <c r="AS319" s="10" t="s">
        <v>114</v>
      </c>
      <c r="AT319" s="10" t="s">
        <v>114</v>
      </c>
      <c r="AU319" s="10" t="s">
        <v>114</v>
      </c>
      <c r="AV319" s="10">
        <v>0.3664960677234026</v>
      </c>
      <c r="AW319" s="10">
        <v>22.597035541947754</v>
      </c>
      <c r="AX319" s="10" t="s">
        <v>114</v>
      </c>
      <c r="AY319" s="10" t="s">
        <v>114</v>
      </c>
      <c r="AZ319" s="10">
        <v>1.1401016084785947</v>
      </c>
      <c r="BA319" s="10">
        <v>1.0388439150738831</v>
      </c>
      <c r="BB319" s="10">
        <v>1.0846861610805971</v>
      </c>
      <c r="BC319" s="10" t="s">
        <v>114</v>
      </c>
      <c r="BD319" s="10">
        <v>0.14237371036162275</v>
      </c>
    </row>
    <row r="320" spans="1:56" x14ac:dyDescent="0.3">
      <c r="A320" t="s">
        <v>404</v>
      </c>
      <c r="B320" t="s">
        <v>384</v>
      </c>
      <c r="C320" s="10">
        <v>5790.0874260624523</v>
      </c>
      <c r="D320" s="10">
        <v>2266.1575813628315</v>
      </c>
      <c r="E320" s="10">
        <v>97.277924083645516</v>
      </c>
      <c r="F320" s="10">
        <v>158499.67299858472</v>
      </c>
      <c r="G320" s="10">
        <v>172.91671246940626</v>
      </c>
      <c r="H320" s="10">
        <v>362617.38380308641</v>
      </c>
      <c r="I320" s="10">
        <v>359066.52821877581</v>
      </c>
      <c r="J320" s="10">
        <v>19.910518326221638</v>
      </c>
      <c r="K320" s="10" t="s">
        <v>114</v>
      </c>
      <c r="L320" s="10">
        <v>2.1672634172422227</v>
      </c>
      <c r="M320" s="10">
        <v>24.924389321367002</v>
      </c>
      <c r="N320" s="10">
        <v>25.343472411469289</v>
      </c>
      <c r="O320" s="10">
        <v>30.470701495219753</v>
      </c>
      <c r="P320" s="10" t="s">
        <v>114</v>
      </c>
      <c r="Q320" s="10">
        <v>107.15010900490924</v>
      </c>
      <c r="R320" s="10" t="s">
        <v>114</v>
      </c>
      <c r="S320" s="10" t="s">
        <v>114</v>
      </c>
      <c r="T320" s="10">
        <v>237.74011400767239</v>
      </c>
      <c r="U320" s="10">
        <v>227.41918862599303</v>
      </c>
      <c r="V320" s="10" t="s">
        <v>114</v>
      </c>
      <c r="W320" s="10" t="s">
        <v>114</v>
      </c>
      <c r="X320" s="10" t="s">
        <v>114</v>
      </c>
      <c r="Y320" s="10">
        <v>261.82609777023345</v>
      </c>
      <c r="Z320" s="10" t="s">
        <v>114</v>
      </c>
      <c r="AA320" s="10">
        <v>0.43994766151284465</v>
      </c>
      <c r="AB320" s="10">
        <v>0.49653199094400596</v>
      </c>
      <c r="AC320" s="10" t="s">
        <v>114</v>
      </c>
      <c r="AD320" s="10" t="s">
        <v>114</v>
      </c>
      <c r="AE320" s="10" t="s">
        <v>114</v>
      </c>
      <c r="AF320" s="10">
        <v>2.0123184771474695E-3</v>
      </c>
      <c r="AG320" s="10">
        <v>4.2445669204749725</v>
      </c>
      <c r="AH320" s="10">
        <v>0.408462977669384</v>
      </c>
      <c r="AI320" s="10">
        <v>1.0346939647155056</v>
      </c>
      <c r="AJ320" s="10">
        <v>8.6458205136544758E-2</v>
      </c>
      <c r="AK320" s="10">
        <v>0.37097935090304723</v>
      </c>
      <c r="AL320" s="10">
        <v>6.2431581009033024E-2</v>
      </c>
      <c r="AM320" s="10">
        <v>1.7636669226203397E-2</v>
      </c>
      <c r="AN320" s="10">
        <v>8.6852572196818509E-2</v>
      </c>
      <c r="AO320" s="10" t="s">
        <v>114</v>
      </c>
      <c r="AP320" s="10">
        <v>8.2004564243591399E-2</v>
      </c>
      <c r="AQ320" s="10" t="s">
        <v>114</v>
      </c>
      <c r="AR320" s="10">
        <v>3.8893049752719733E-2</v>
      </c>
      <c r="AS320" s="10" t="s">
        <v>114</v>
      </c>
      <c r="AT320" s="10">
        <v>2.7140330613855047E-2</v>
      </c>
      <c r="AU320" s="10">
        <v>3.0592318380949887E-3</v>
      </c>
      <c r="AV320" s="10">
        <v>0.21187699999436121</v>
      </c>
      <c r="AW320" s="10">
        <v>23.720127832154329</v>
      </c>
      <c r="AX320" s="10" t="s">
        <v>114</v>
      </c>
      <c r="AY320" s="10" t="s">
        <v>114</v>
      </c>
      <c r="AZ320" s="10" t="s">
        <v>114</v>
      </c>
      <c r="BA320" s="10" t="s">
        <v>114</v>
      </c>
      <c r="BB320" s="10" t="s">
        <v>114</v>
      </c>
      <c r="BC320" s="10" t="s">
        <v>114</v>
      </c>
      <c r="BD320" s="10">
        <v>0.19217495862776973</v>
      </c>
    </row>
    <row r="321" spans="1:56" x14ac:dyDescent="0.3">
      <c r="A321" t="s">
        <v>405</v>
      </c>
      <c r="B321" t="s">
        <v>384</v>
      </c>
      <c r="C321" s="10">
        <v>6641.2751418056159</v>
      </c>
      <c r="D321" s="10">
        <v>2851.9641591117147</v>
      </c>
      <c r="E321" s="10">
        <v>97.252436417301723</v>
      </c>
      <c r="F321" s="10">
        <v>152477.52470253885</v>
      </c>
      <c r="G321" s="10">
        <v>189.56849999492829</v>
      </c>
      <c r="H321" s="10">
        <v>344998.43494989054</v>
      </c>
      <c r="I321" s="10">
        <v>343471.15084853192</v>
      </c>
      <c r="J321" s="10">
        <v>5.2567767942639323</v>
      </c>
      <c r="K321" s="10" t="s">
        <v>114</v>
      </c>
      <c r="L321" s="10">
        <v>2.0838906824942951</v>
      </c>
      <c r="M321" s="10">
        <v>23.271615099669827</v>
      </c>
      <c r="N321" s="10">
        <v>16.199772761749792</v>
      </c>
      <c r="O321" s="10">
        <v>21.868582848975667</v>
      </c>
      <c r="P321" s="10" t="s">
        <v>114</v>
      </c>
      <c r="Q321" s="10">
        <v>12.843758597726117</v>
      </c>
      <c r="R321" s="10" t="s">
        <v>114</v>
      </c>
      <c r="S321" s="10" t="s">
        <v>114</v>
      </c>
      <c r="T321" s="10">
        <v>121.79873710984906</v>
      </c>
      <c r="U321" s="10">
        <v>113.828766763649</v>
      </c>
      <c r="V321" s="10" t="s">
        <v>114</v>
      </c>
      <c r="W321" s="10" t="s">
        <v>114</v>
      </c>
      <c r="X321" s="10" t="s">
        <v>114</v>
      </c>
      <c r="Y321" s="10">
        <v>138.69958662459285</v>
      </c>
      <c r="Z321" s="10" t="s">
        <v>114</v>
      </c>
      <c r="AA321" s="10">
        <v>0.33205927481283781</v>
      </c>
      <c r="AB321" s="10">
        <v>0.35183822556705924</v>
      </c>
      <c r="AC321" s="10" t="s">
        <v>114</v>
      </c>
      <c r="AD321" s="10" t="s">
        <v>114</v>
      </c>
      <c r="AE321" s="10" t="s">
        <v>114</v>
      </c>
      <c r="AF321" s="10">
        <v>1.5202490053119876E-3</v>
      </c>
      <c r="AG321" s="10">
        <v>4.8603425438927728</v>
      </c>
      <c r="AH321" s="10">
        <v>7.579194033381613E-2</v>
      </c>
      <c r="AI321" s="10">
        <v>0.16671508351438241</v>
      </c>
      <c r="AJ321" s="10">
        <v>1.496338814452664E-2</v>
      </c>
      <c r="AK321" s="10">
        <v>6.7785950034393222E-2</v>
      </c>
      <c r="AL321" s="10" t="s">
        <v>114</v>
      </c>
      <c r="AM321" s="10" t="s">
        <v>114</v>
      </c>
      <c r="AN321" s="10">
        <v>1.0424604188327337E-2</v>
      </c>
      <c r="AO321" s="10" t="s">
        <v>114</v>
      </c>
      <c r="AP321" s="10">
        <v>1.8593768192397223E-2</v>
      </c>
      <c r="AQ321" s="10" t="s">
        <v>114</v>
      </c>
      <c r="AR321" s="10" t="s">
        <v>114</v>
      </c>
      <c r="AS321" s="10" t="s">
        <v>114</v>
      </c>
      <c r="AT321" s="10" t="s">
        <v>114</v>
      </c>
      <c r="AU321" s="10" t="s">
        <v>114</v>
      </c>
      <c r="AV321" s="10">
        <v>0.14086517969490309</v>
      </c>
      <c r="AW321" s="10">
        <v>21.9663120079632</v>
      </c>
      <c r="AX321" s="10" t="s">
        <v>114</v>
      </c>
      <c r="AY321" s="10" t="s">
        <v>114</v>
      </c>
      <c r="AZ321" s="10">
        <v>3.0186285623677311</v>
      </c>
      <c r="BA321" s="10">
        <v>2.7433578734232209</v>
      </c>
      <c r="BB321" s="10">
        <v>2.7945908906760399</v>
      </c>
      <c r="BC321" s="10" t="s">
        <v>114</v>
      </c>
      <c r="BD321" s="10">
        <v>0.32060447067226455</v>
      </c>
    </row>
    <row r="322" spans="1:56" x14ac:dyDescent="0.3">
      <c r="A322" t="s">
        <v>406</v>
      </c>
      <c r="B322" t="s">
        <v>384</v>
      </c>
      <c r="C322" s="10">
        <v>7746.1924400176222</v>
      </c>
      <c r="D322" s="10">
        <v>3292.0249742433475</v>
      </c>
      <c r="E322" s="10">
        <v>80.172829443719209</v>
      </c>
      <c r="F322" s="10">
        <v>168090.14738841768</v>
      </c>
      <c r="G322" s="10">
        <v>201.9677125650955</v>
      </c>
      <c r="H322" s="10">
        <v>381530.59624856751</v>
      </c>
      <c r="I322" s="10">
        <v>379849.33924389427</v>
      </c>
      <c r="J322" s="10">
        <v>26.111975538814782</v>
      </c>
      <c r="K322" s="10" t="s">
        <v>114</v>
      </c>
      <c r="L322" s="10">
        <v>0.88156283112595113</v>
      </c>
      <c r="M322" s="10">
        <v>22.284998952542182</v>
      </c>
      <c r="N322" s="10" t="s">
        <v>114</v>
      </c>
      <c r="O322" s="10">
        <v>9.8835075328686592</v>
      </c>
      <c r="P322" s="10" t="s">
        <v>114</v>
      </c>
      <c r="Q322" s="10">
        <v>1.2650486475193738</v>
      </c>
      <c r="R322" s="10" t="s">
        <v>114</v>
      </c>
      <c r="S322" s="10" t="s">
        <v>114</v>
      </c>
      <c r="T322" s="10">
        <v>153.79205945082614</v>
      </c>
      <c r="U322" s="10">
        <v>151.86183583679028</v>
      </c>
      <c r="V322" s="10" t="s">
        <v>114</v>
      </c>
      <c r="W322" s="10" t="s">
        <v>114</v>
      </c>
      <c r="X322" s="10" t="s">
        <v>114</v>
      </c>
      <c r="Y322" s="10">
        <v>155.84631390010139</v>
      </c>
      <c r="Z322" s="10" t="s">
        <v>114</v>
      </c>
      <c r="AA322" s="10">
        <v>0.30580427737867732</v>
      </c>
      <c r="AB322" s="10" t="s">
        <v>114</v>
      </c>
      <c r="AC322" s="10" t="s">
        <v>114</v>
      </c>
      <c r="AD322" s="10" t="s">
        <v>114</v>
      </c>
      <c r="AE322" s="10" t="s">
        <v>114</v>
      </c>
      <c r="AF322" s="10">
        <v>2.358623430021918E-3</v>
      </c>
      <c r="AG322" s="10">
        <v>2.5634131721619111</v>
      </c>
      <c r="AH322" s="10">
        <v>0.13644336905227322</v>
      </c>
      <c r="AI322" s="10">
        <v>0.3179907807279258</v>
      </c>
      <c r="AJ322" s="10">
        <v>2.770328158293444E-2</v>
      </c>
      <c r="AK322" s="10">
        <v>0.11803520351950829</v>
      </c>
      <c r="AL322" s="10" t="s">
        <v>114</v>
      </c>
      <c r="AM322" s="10" t="s">
        <v>114</v>
      </c>
      <c r="AN322" s="10">
        <v>3.3836111436633759E-2</v>
      </c>
      <c r="AO322" s="10" t="s">
        <v>114</v>
      </c>
      <c r="AP322" s="10">
        <v>3.0428935771751455E-2</v>
      </c>
      <c r="AQ322" s="10" t="s">
        <v>114</v>
      </c>
      <c r="AR322" s="10" t="s">
        <v>114</v>
      </c>
      <c r="AS322" s="10" t="s">
        <v>114</v>
      </c>
      <c r="AT322" s="10">
        <v>1.3260052516437758E-2</v>
      </c>
      <c r="AU322" s="10" t="s">
        <v>114</v>
      </c>
      <c r="AV322" s="10">
        <v>9.8401479889845905E-2</v>
      </c>
      <c r="AW322" s="10">
        <v>22.730571207827875</v>
      </c>
      <c r="AX322" s="10" t="s">
        <v>114</v>
      </c>
      <c r="AY322" s="10" t="s">
        <v>114</v>
      </c>
      <c r="AZ322" s="10">
        <v>1.1861882976049072</v>
      </c>
      <c r="BA322" s="10">
        <v>1.0531943283501304</v>
      </c>
      <c r="BB322" s="10">
        <v>1.1194241434258985</v>
      </c>
      <c r="BC322" s="10" t="s">
        <v>114</v>
      </c>
      <c r="BD322" s="10">
        <v>0.14262030590756866</v>
      </c>
    </row>
    <row r="323" spans="1:56" x14ac:dyDescent="0.3">
      <c r="A323" t="s">
        <v>407</v>
      </c>
      <c r="B323" t="s">
        <v>384</v>
      </c>
      <c r="C323" s="10">
        <v>6142.5164727429537</v>
      </c>
      <c r="D323" s="10">
        <v>2685.0712109356004</v>
      </c>
      <c r="E323" s="10">
        <v>110.99060631880187</v>
      </c>
      <c r="F323" s="10">
        <v>127865.00778723675</v>
      </c>
      <c r="G323" s="10">
        <v>175.80743857261294</v>
      </c>
      <c r="H323" s="10">
        <v>289020.44046881376</v>
      </c>
      <c r="I323" s="10">
        <v>290801.18322040612</v>
      </c>
      <c r="J323" s="10" t="s">
        <v>114</v>
      </c>
      <c r="K323" s="10" t="s">
        <v>114</v>
      </c>
      <c r="L323" s="10">
        <v>0.93748266268639624</v>
      </c>
      <c r="M323" s="10">
        <v>20.35037858599539</v>
      </c>
      <c r="N323" s="10" t="s">
        <v>114</v>
      </c>
      <c r="O323" s="10" t="s">
        <v>114</v>
      </c>
      <c r="P323" s="10" t="s">
        <v>114</v>
      </c>
      <c r="Q323" s="10">
        <v>4.4863623531242194</v>
      </c>
      <c r="R323" s="10" t="s">
        <v>114</v>
      </c>
      <c r="S323" s="10" t="s">
        <v>114</v>
      </c>
      <c r="T323" s="10">
        <v>106.71922053183391</v>
      </c>
      <c r="U323" s="10">
        <v>100.94211582541939</v>
      </c>
      <c r="V323" s="10" t="s">
        <v>114</v>
      </c>
      <c r="W323" s="10" t="s">
        <v>114</v>
      </c>
      <c r="X323" s="10" t="s">
        <v>114</v>
      </c>
      <c r="Y323" s="10">
        <v>68.739731151781783</v>
      </c>
      <c r="Z323" s="10" t="s">
        <v>114</v>
      </c>
      <c r="AA323" s="10" t="s">
        <v>114</v>
      </c>
      <c r="AB323" s="10" t="s">
        <v>114</v>
      </c>
      <c r="AC323" s="10" t="s">
        <v>114</v>
      </c>
      <c r="AD323" s="10" t="s">
        <v>114</v>
      </c>
      <c r="AE323" s="10" t="s">
        <v>114</v>
      </c>
      <c r="AF323" s="10">
        <v>1.812414780130447E-3</v>
      </c>
      <c r="AG323" s="10">
        <v>0.98621944035178843</v>
      </c>
      <c r="AH323" s="10" t="s">
        <v>114</v>
      </c>
      <c r="AI323" s="10" t="s">
        <v>114</v>
      </c>
      <c r="AJ323" s="10" t="s">
        <v>114</v>
      </c>
      <c r="AK323" s="10" t="s">
        <v>114</v>
      </c>
      <c r="AL323" s="10" t="s">
        <v>114</v>
      </c>
      <c r="AM323" s="10" t="s">
        <v>114</v>
      </c>
      <c r="AN323" s="10" t="s">
        <v>114</v>
      </c>
      <c r="AO323" s="10" t="s">
        <v>114</v>
      </c>
      <c r="AP323" s="10" t="s">
        <v>114</v>
      </c>
      <c r="AQ323" s="10" t="s">
        <v>114</v>
      </c>
      <c r="AR323" s="10" t="s">
        <v>114</v>
      </c>
      <c r="AS323" s="10" t="s">
        <v>114</v>
      </c>
      <c r="AT323" s="10" t="s">
        <v>114</v>
      </c>
      <c r="AU323" s="10" t="s">
        <v>114</v>
      </c>
      <c r="AV323" s="10" t="s">
        <v>114</v>
      </c>
      <c r="AW323" s="10">
        <v>22.908234973808757</v>
      </c>
      <c r="AX323" s="10" t="s">
        <v>114</v>
      </c>
      <c r="AY323" s="10" t="s">
        <v>114</v>
      </c>
      <c r="AZ323" s="10" t="s">
        <v>114</v>
      </c>
      <c r="BA323" s="10" t="s">
        <v>114</v>
      </c>
      <c r="BB323" s="10" t="s">
        <v>114</v>
      </c>
      <c r="BC323" s="10" t="s">
        <v>114</v>
      </c>
      <c r="BD323" s="10" t="s">
        <v>114</v>
      </c>
    </row>
    <row r="324" spans="1:56" x14ac:dyDescent="0.3">
      <c r="A324" t="s">
        <v>408</v>
      </c>
      <c r="B324" t="s">
        <v>384</v>
      </c>
      <c r="C324" s="10">
        <v>6831.8947222899815</v>
      </c>
      <c r="D324" s="10">
        <v>3252.3432389555205</v>
      </c>
      <c r="E324" s="10">
        <v>86.057629034698294</v>
      </c>
      <c r="F324" s="10">
        <v>151864.3404760152</v>
      </c>
      <c r="G324" s="10">
        <v>189.15877097692547</v>
      </c>
      <c r="H324" s="10">
        <v>344544.52509804373</v>
      </c>
      <c r="I324" s="10">
        <v>342575.57993930997</v>
      </c>
      <c r="J324" s="10" t="s">
        <v>114</v>
      </c>
      <c r="K324" s="10">
        <v>0.23175525298420754</v>
      </c>
      <c r="L324" s="10">
        <v>1.1556040312423426</v>
      </c>
      <c r="M324" s="10">
        <v>24.267041858475043</v>
      </c>
      <c r="N324" s="10">
        <v>37.818771499370293</v>
      </c>
      <c r="O324" s="10">
        <v>40.273317666898222</v>
      </c>
      <c r="P324" s="10" t="s">
        <v>114</v>
      </c>
      <c r="Q324" s="10" t="s">
        <v>114</v>
      </c>
      <c r="R324" s="10" t="s">
        <v>114</v>
      </c>
      <c r="S324" s="10" t="s">
        <v>114</v>
      </c>
      <c r="T324" s="10">
        <v>118.13691542690036</v>
      </c>
      <c r="U324" s="10">
        <v>112.05928210208992</v>
      </c>
      <c r="V324" s="10" t="s">
        <v>114</v>
      </c>
      <c r="W324" s="10" t="s">
        <v>114</v>
      </c>
      <c r="X324" s="10" t="s">
        <v>114</v>
      </c>
      <c r="Y324" s="10">
        <v>182.72080120593392</v>
      </c>
      <c r="Z324" s="10" t="s">
        <v>114</v>
      </c>
      <c r="AA324" s="10">
        <v>1.021258277412902</v>
      </c>
      <c r="AB324" s="10">
        <v>1.166189472777206</v>
      </c>
      <c r="AC324" s="10" t="s">
        <v>114</v>
      </c>
      <c r="AD324" s="10" t="s">
        <v>114</v>
      </c>
      <c r="AE324" s="10" t="s">
        <v>114</v>
      </c>
      <c r="AF324" s="10">
        <v>2.7655671620231519E-3</v>
      </c>
      <c r="AG324" s="10">
        <v>6.9547040081210314</v>
      </c>
      <c r="AH324" s="10">
        <v>0.18955503351021852</v>
      </c>
      <c r="AI324" s="10">
        <v>0.48928765918549855</v>
      </c>
      <c r="AJ324" s="10">
        <v>3.8338492291035316E-2</v>
      </c>
      <c r="AK324" s="10">
        <v>0.18752136989099163</v>
      </c>
      <c r="AL324" s="10">
        <v>3.9577319018233949E-2</v>
      </c>
      <c r="AM324" s="10" t="s">
        <v>114</v>
      </c>
      <c r="AN324" s="10">
        <v>4.9238337840615043E-2</v>
      </c>
      <c r="AO324" s="10" t="s">
        <v>114</v>
      </c>
      <c r="AP324" s="10">
        <v>4.5473500904399514E-2</v>
      </c>
      <c r="AQ324" s="10" t="s">
        <v>114</v>
      </c>
      <c r="AR324" s="10">
        <v>3.0121014021676221E-2</v>
      </c>
      <c r="AS324" s="10" t="s">
        <v>114</v>
      </c>
      <c r="AT324" s="10">
        <v>1.94425585969328E-2</v>
      </c>
      <c r="AU324" s="10" t="s">
        <v>114</v>
      </c>
      <c r="AV324" s="10">
        <v>0.58719044063396764</v>
      </c>
      <c r="AW324" s="10">
        <v>24.633920572032931</v>
      </c>
      <c r="AX324" s="10" t="s">
        <v>114</v>
      </c>
      <c r="AY324" s="10" t="s">
        <v>114</v>
      </c>
      <c r="AZ324" s="10" t="s">
        <v>114</v>
      </c>
      <c r="BA324" s="10" t="s">
        <v>114</v>
      </c>
      <c r="BB324" s="10" t="s">
        <v>114</v>
      </c>
      <c r="BC324" s="10">
        <v>0.34957583324023139</v>
      </c>
      <c r="BD324" s="10">
        <v>0.21833550091835266</v>
      </c>
    </row>
    <row r="325" spans="1:56" x14ac:dyDescent="0.3">
      <c r="A325" t="s">
        <v>409</v>
      </c>
      <c r="B325" t="s">
        <v>384</v>
      </c>
      <c r="C325" s="10">
        <v>9203.7319950444125</v>
      </c>
      <c r="D325" s="10">
        <v>3589.2534902107177</v>
      </c>
      <c r="E325" s="10">
        <v>88.160658951023805</v>
      </c>
      <c r="F325" s="10">
        <v>162771.90589654981</v>
      </c>
      <c r="G325" s="10">
        <v>247.74403856501618</v>
      </c>
      <c r="H325" s="10">
        <v>372602.34054420685</v>
      </c>
      <c r="I325" s="10">
        <v>372912.03377564088</v>
      </c>
      <c r="J325" s="10" t="s">
        <v>114</v>
      </c>
      <c r="K325" s="10">
        <v>0.90641958147534796</v>
      </c>
      <c r="L325" s="10">
        <v>2.1856273047229919</v>
      </c>
      <c r="M325" s="10">
        <v>54.723440452975993</v>
      </c>
      <c r="N325" s="10">
        <v>40.601551979830894</v>
      </c>
      <c r="O325" s="10">
        <v>46.569732103174019</v>
      </c>
      <c r="P325" s="10" t="s">
        <v>114</v>
      </c>
      <c r="Q325" s="10" t="s">
        <v>114</v>
      </c>
      <c r="R325" s="10" t="s">
        <v>114</v>
      </c>
      <c r="S325" s="10" t="s">
        <v>114</v>
      </c>
      <c r="T325" s="10">
        <v>112.59739771918224</v>
      </c>
      <c r="U325" s="10">
        <v>110.70682650482871</v>
      </c>
      <c r="V325" s="10">
        <v>1.119199052362464</v>
      </c>
      <c r="W325" s="10" t="s">
        <v>114</v>
      </c>
      <c r="X325" s="10" t="s">
        <v>114</v>
      </c>
      <c r="Y325" s="10">
        <v>361.83429470820528</v>
      </c>
      <c r="Z325" s="10" t="s">
        <v>114</v>
      </c>
      <c r="AA325" s="10">
        <v>0.71848436232294499</v>
      </c>
      <c r="AB325" s="10">
        <v>0.72410902089600737</v>
      </c>
      <c r="AC325" s="10" t="s">
        <v>114</v>
      </c>
      <c r="AD325" s="10" t="s">
        <v>114</v>
      </c>
      <c r="AE325" s="10" t="s">
        <v>114</v>
      </c>
      <c r="AF325" s="10">
        <v>2.7112599238024657E-3</v>
      </c>
      <c r="AG325" s="10">
        <v>10.293411442623315</v>
      </c>
      <c r="AH325" s="10">
        <v>0.20977363920111275</v>
      </c>
      <c r="AI325" s="10">
        <v>0.43330669579797193</v>
      </c>
      <c r="AJ325" s="10">
        <v>4.9504510455448923E-2</v>
      </c>
      <c r="AK325" s="10">
        <v>0.20450320669643049</v>
      </c>
      <c r="AL325" s="10">
        <v>3.2333121186967455E-2</v>
      </c>
      <c r="AM325" s="10">
        <v>9.1715170708203085E-3</v>
      </c>
      <c r="AN325" s="10">
        <v>4.1922584736801362E-2</v>
      </c>
      <c r="AO325" s="10" t="s">
        <v>114</v>
      </c>
      <c r="AP325" s="10">
        <v>4.6225768664880248E-2</v>
      </c>
      <c r="AQ325" s="10" t="s">
        <v>114</v>
      </c>
      <c r="AR325" s="10">
        <v>1.9237240683545199E-2</v>
      </c>
      <c r="AS325" s="10">
        <v>3.2117865199178595E-3</v>
      </c>
      <c r="AT325" s="10">
        <v>2.4425624333579889E-2</v>
      </c>
      <c r="AU325" s="10">
        <v>3.6786383929905994E-3</v>
      </c>
      <c r="AV325" s="10">
        <v>0.39912517128871433</v>
      </c>
      <c r="AW325" s="10">
        <v>24.369670552356055</v>
      </c>
      <c r="AX325" s="10" t="s">
        <v>114</v>
      </c>
      <c r="AY325" s="10" t="s">
        <v>114</v>
      </c>
      <c r="AZ325" s="10">
        <v>1.6641300521647868</v>
      </c>
      <c r="BA325" s="10">
        <v>1.4642010500557894</v>
      </c>
      <c r="BB325" s="10">
        <v>1.543640322030978</v>
      </c>
      <c r="BC325" s="10" t="s">
        <v>114</v>
      </c>
      <c r="BD325" s="10">
        <v>2.0498234683063066</v>
      </c>
    </row>
    <row r="326" spans="1:56" x14ac:dyDescent="0.3">
      <c r="A326" t="s">
        <v>410</v>
      </c>
      <c r="B326" t="s">
        <v>384</v>
      </c>
      <c r="C326" s="10">
        <v>6670.8752857626041</v>
      </c>
      <c r="D326" s="10">
        <v>3635.3977470052096</v>
      </c>
      <c r="E326" s="10">
        <v>103.88468391741806</v>
      </c>
      <c r="F326" s="10">
        <v>157466.79737914362</v>
      </c>
      <c r="G326" s="10">
        <v>191.08497772573025</v>
      </c>
      <c r="H326" s="10">
        <v>358824.41024156817</v>
      </c>
      <c r="I326" s="10">
        <v>359203.5113698538</v>
      </c>
      <c r="J326" s="10" t="s">
        <v>114</v>
      </c>
      <c r="K326" s="10" t="s">
        <v>114</v>
      </c>
      <c r="L326" s="10">
        <v>1.5079074507255876</v>
      </c>
      <c r="M326" s="10">
        <v>29.521773920593535</v>
      </c>
      <c r="N326" s="10">
        <v>32.220217295562946</v>
      </c>
      <c r="O326" s="10">
        <v>36.739614006490001</v>
      </c>
      <c r="P326" s="10" t="s">
        <v>114</v>
      </c>
      <c r="Q326" s="10">
        <v>12.147469687901474</v>
      </c>
      <c r="R326" s="10" t="s">
        <v>114</v>
      </c>
      <c r="S326" s="10" t="s">
        <v>114</v>
      </c>
      <c r="T326" s="10">
        <v>228.24324667245233</v>
      </c>
      <c r="U326" s="10">
        <v>217.38037469020821</v>
      </c>
      <c r="V326" s="10">
        <v>1.7273209952518793</v>
      </c>
      <c r="W326" s="10" t="s">
        <v>114</v>
      </c>
      <c r="X326" s="10" t="s">
        <v>114</v>
      </c>
      <c r="Y326" s="10">
        <v>181.38965827788232</v>
      </c>
      <c r="Z326" s="10" t="s">
        <v>114</v>
      </c>
      <c r="AA326" s="10" t="s">
        <v>114</v>
      </c>
      <c r="AB326" s="10">
        <v>0.36247113565820299</v>
      </c>
      <c r="AC326" s="10" t="s">
        <v>114</v>
      </c>
      <c r="AD326" s="10" t="s">
        <v>114</v>
      </c>
      <c r="AE326" s="10" t="s">
        <v>114</v>
      </c>
      <c r="AF326" s="10">
        <v>2.123111719284536E-3</v>
      </c>
      <c r="AG326" s="10">
        <v>5.083859458273265</v>
      </c>
      <c r="AH326" s="10">
        <v>3.5930634926948937E-2</v>
      </c>
      <c r="AI326" s="10">
        <v>7.1462079315993854E-2</v>
      </c>
      <c r="AJ326" s="10">
        <v>7.529056214161391E-3</v>
      </c>
      <c r="AK326" s="10">
        <v>3.4469303006436282E-2</v>
      </c>
      <c r="AL326" s="10" t="s">
        <v>114</v>
      </c>
      <c r="AM326" s="10" t="s">
        <v>114</v>
      </c>
      <c r="AN326" s="10" t="s">
        <v>114</v>
      </c>
      <c r="AO326" s="10" t="s">
        <v>114</v>
      </c>
      <c r="AP326" s="10">
        <v>1.1143047417287307E-2</v>
      </c>
      <c r="AQ326" s="10" t="s">
        <v>114</v>
      </c>
      <c r="AR326" s="10" t="s">
        <v>114</v>
      </c>
      <c r="AS326" s="10" t="s">
        <v>114</v>
      </c>
      <c r="AT326" s="10" t="s">
        <v>114</v>
      </c>
      <c r="AU326" s="10" t="s">
        <v>114</v>
      </c>
      <c r="AV326" s="10">
        <v>0.21799683046371418</v>
      </c>
      <c r="AW326" s="10">
        <v>22.096460766193623</v>
      </c>
      <c r="AX326" s="10" t="s">
        <v>114</v>
      </c>
      <c r="AY326" s="10" t="s">
        <v>114</v>
      </c>
      <c r="AZ326" s="10" t="s">
        <v>114</v>
      </c>
      <c r="BA326" s="10" t="s">
        <v>114</v>
      </c>
      <c r="BB326" s="10" t="s">
        <v>114</v>
      </c>
      <c r="BC326" s="10" t="s">
        <v>114</v>
      </c>
      <c r="BD326" s="10">
        <v>0.937784447405967</v>
      </c>
    </row>
    <row r="327" spans="1:56" x14ac:dyDescent="0.3">
      <c r="A327" t="s">
        <v>411</v>
      </c>
      <c r="B327" t="s">
        <v>384</v>
      </c>
      <c r="C327" s="10">
        <v>6155.3525101535088</v>
      </c>
      <c r="D327" s="10">
        <v>2560.803796636952</v>
      </c>
      <c r="E327" s="10">
        <v>83.773888929225038</v>
      </c>
      <c r="F327" s="10">
        <v>161592.74403358882</v>
      </c>
      <c r="G327" s="10">
        <v>237.43587565253583</v>
      </c>
      <c r="H327" s="10">
        <v>362488.21272549866</v>
      </c>
      <c r="I327" s="10">
        <v>363354.17102698894</v>
      </c>
      <c r="J327" s="10" t="s">
        <v>114</v>
      </c>
      <c r="K327" s="10" t="s">
        <v>114</v>
      </c>
      <c r="L327" s="10">
        <v>1.7594312545288306</v>
      </c>
      <c r="M327" s="10">
        <v>19.37851879750697</v>
      </c>
      <c r="N327" s="10">
        <v>12.047263985878796</v>
      </c>
      <c r="O327" s="10">
        <v>16.016691944784668</v>
      </c>
      <c r="P327" s="10" t="s">
        <v>114</v>
      </c>
      <c r="Q327" s="10">
        <v>17.610542021481443</v>
      </c>
      <c r="R327" s="10" t="s">
        <v>114</v>
      </c>
      <c r="S327" s="10" t="s">
        <v>114</v>
      </c>
      <c r="T327" s="10">
        <v>268.32901226360673</v>
      </c>
      <c r="U327" s="10">
        <v>253.35550793581641</v>
      </c>
      <c r="V327" s="10" t="s">
        <v>114</v>
      </c>
      <c r="W327" s="10" t="s">
        <v>114</v>
      </c>
      <c r="X327" s="10" t="s">
        <v>114</v>
      </c>
      <c r="Y327" s="10">
        <v>56.540852432068441</v>
      </c>
      <c r="Z327" s="10" t="s">
        <v>114</v>
      </c>
      <c r="AA327" s="10">
        <v>0.35007022610353489</v>
      </c>
      <c r="AB327" s="10">
        <v>0.27880421652068704</v>
      </c>
      <c r="AC327" s="10" t="s">
        <v>114</v>
      </c>
      <c r="AD327" s="10" t="s">
        <v>114</v>
      </c>
      <c r="AE327" s="10" t="s">
        <v>114</v>
      </c>
      <c r="AF327" s="10">
        <v>3.7766108093930102E-3</v>
      </c>
      <c r="AG327" s="10">
        <v>2.7037257466011524</v>
      </c>
      <c r="AH327" s="10">
        <v>1.8256529252435063E-2</v>
      </c>
      <c r="AI327" s="10" t="s">
        <v>114</v>
      </c>
      <c r="AJ327" s="10" t="s">
        <v>114</v>
      </c>
      <c r="AK327" s="10" t="s">
        <v>114</v>
      </c>
      <c r="AL327" s="10" t="s">
        <v>114</v>
      </c>
      <c r="AM327" s="10" t="s">
        <v>114</v>
      </c>
      <c r="AN327" s="10" t="s">
        <v>114</v>
      </c>
      <c r="AO327" s="10" t="s">
        <v>114</v>
      </c>
      <c r="AP327" s="10" t="s">
        <v>114</v>
      </c>
      <c r="AQ327" s="10" t="s">
        <v>114</v>
      </c>
      <c r="AR327" s="10" t="s">
        <v>114</v>
      </c>
      <c r="AS327" s="10" t="s">
        <v>114</v>
      </c>
      <c r="AT327" s="10" t="s">
        <v>114</v>
      </c>
      <c r="AU327" s="10" t="s">
        <v>114</v>
      </c>
      <c r="AV327" s="10">
        <v>0.11345180334148096</v>
      </c>
      <c r="AW327" s="10">
        <v>22.689273344846523</v>
      </c>
      <c r="AX327" s="10" t="s">
        <v>114</v>
      </c>
      <c r="AY327" s="10" t="s">
        <v>114</v>
      </c>
      <c r="AZ327" s="10">
        <v>0.67768966470336178</v>
      </c>
      <c r="BA327" s="10" t="s">
        <v>114</v>
      </c>
      <c r="BB327" s="10" t="s">
        <v>114</v>
      </c>
      <c r="BC327" s="10" t="s">
        <v>114</v>
      </c>
      <c r="BD327" s="10" t="s">
        <v>114</v>
      </c>
    </row>
    <row r="328" spans="1:56" x14ac:dyDescent="0.3">
      <c r="A328" t="s">
        <v>412</v>
      </c>
      <c r="B328" t="s">
        <v>384</v>
      </c>
      <c r="C328" s="10">
        <v>5849.8667147000251</v>
      </c>
      <c r="D328" s="10">
        <v>2218.8711424403823</v>
      </c>
      <c r="E328" s="10">
        <v>129.02438123968363</v>
      </c>
      <c r="F328" s="10">
        <v>120130.25300015316</v>
      </c>
      <c r="G328" s="10">
        <v>196.96658988279356</v>
      </c>
      <c r="H328" s="10">
        <v>276320.79671313131</v>
      </c>
      <c r="I328" s="10">
        <v>274948.64143392688</v>
      </c>
      <c r="J328" s="10">
        <v>5.813859785687816</v>
      </c>
      <c r="K328" s="10">
        <v>0.50289409801954632</v>
      </c>
      <c r="L328" s="10">
        <v>1.3800452297031245</v>
      </c>
      <c r="M328" s="10">
        <v>37.188777630711058</v>
      </c>
      <c r="N328" s="10">
        <v>13.404792339698822</v>
      </c>
      <c r="O328" s="10">
        <v>15.584605308062477</v>
      </c>
      <c r="P328" s="10" t="s">
        <v>114</v>
      </c>
      <c r="Q328" s="10">
        <v>3.8075408727210132</v>
      </c>
      <c r="R328" s="10" t="s">
        <v>114</v>
      </c>
      <c r="S328" s="10" t="s">
        <v>114</v>
      </c>
      <c r="T328" s="10">
        <v>135.25425088102764</v>
      </c>
      <c r="U328" s="10">
        <v>131.40528578272421</v>
      </c>
      <c r="V328" s="10" t="s">
        <v>114</v>
      </c>
      <c r="W328" s="10" t="s">
        <v>114</v>
      </c>
      <c r="X328" s="10" t="s">
        <v>114</v>
      </c>
      <c r="Y328" s="10">
        <v>216.1530135933437</v>
      </c>
      <c r="Z328" s="10" t="s">
        <v>114</v>
      </c>
      <c r="AA328" s="10">
        <v>0.44976103590625682</v>
      </c>
      <c r="AB328" s="10">
        <v>0.43131110134355027</v>
      </c>
      <c r="AC328" s="10" t="s">
        <v>114</v>
      </c>
      <c r="AD328" s="10" t="s">
        <v>114</v>
      </c>
      <c r="AE328" s="10" t="s">
        <v>114</v>
      </c>
      <c r="AF328" s="10">
        <v>2.1800100003167571E-3</v>
      </c>
      <c r="AG328" s="10">
        <v>4.714065819252081</v>
      </c>
      <c r="AH328" s="10">
        <v>0.11197758096766772</v>
      </c>
      <c r="AI328" s="10">
        <v>0.28339519213367775</v>
      </c>
      <c r="AJ328" s="10">
        <v>2.2403731720857127E-2</v>
      </c>
      <c r="AK328" s="10">
        <v>9.5227385372596132E-2</v>
      </c>
      <c r="AL328" s="10" t="s">
        <v>114</v>
      </c>
      <c r="AM328" s="10" t="s">
        <v>114</v>
      </c>
      <c r="AN328" s="10">
        <v>2.4598784883879187E-2</v>
      </c>
      <c r="AO328" s="10" t="s">
        <v>114</v>
      </c>
      <c r="AP328" s="10">
        <v>1.4850398896319441E-2</v>
      </c>
      <c r="AQ328" s="10" t="s">
        <v>114</v>
      </c>
      <c r="AR328" s="10" t="s">
        <v>114</v>
      </c>
      <c r="AS328" s="10" t="s">
        <v>114</v>
      </c>
      <c r="AT328" s="10" t="s">
        <v>114</v>
      </c>
      <c r="AU328" s="10" t="s">
        <v>114</v>
      </c>
      <c r="AV328" s="10">
        <v>0.16723839994736966</v>
      </c>
      <c r="AW328" s="10">
        <v>21.917568000475395</v>
      </c>
      <c r="AX328" s="10" t="s">
        <v>114</v>
      </c>
      <c r="AY328" s="10" t="s">
        <v>114</v>
      </c>
      <c r="AZ328" s="10" t="s">
        <v>114</v>
      </c>
      <c r="BA328" s="10" t="s">
        <v>114</v>
      </c>
      <c r="BB328" s="10" t="s">
        <v>114</v>
      </c>
      <c r="BC328" s="10" t="s">
        <v>114</v>
      </c>
      <c r="BD328" s="10">
        <v>0.5286627278422511</v>
      </c>
    </row>
    <row r="329" spans="1:56" x14ac:dyDescent="0.3">
      <c r="A329" t="s">
        <v>413</v>
      </c>
      <c r="B329" t="s">
        <v>384</v>
      </c>
      <c r="C329" s="10">
        <v>6556.3879781888136</v>
      </c>
      <c r="D329" s="10">
        <v>3663.4215395303518</v>
      </c>
      <c r="E329" s="10">
        <v>252.22339956307928</v>
      </c>
      <c r="F329" s="10">
        <v>164721.01226118367</v>
      </c>
      <c r="G329" s="10">
        <v>222.69731965918109</v>
      </c>
      <c r="H329" s="10">
        <v>375487.52353839221</v>
      </c>
      <c r="I329" s="10">
        <v>372196.0901220814</v>
      </c>
      <c r="J329" s="10" t="s">
        <v>114</v>
      </c>
      <c r="K329" s="10" t="s">
        <v>114</v>
      </c>
      <c r="L329" s="10">
        <v>3.6162980985620012</v>
      </c>
      <c r="M329" s="10">
        <v>21.498577988800076</v>
      </c>
      <c r="N329" s="10">
        <v>14.61913082647308</v>
      </c>
      <c r="O329" s="10">
        <v>19.966193593604988</v>
      </c>
      <c r="P329" s="10" t="s">
        <v>114</v>
      </c>
      <c r="Q329" s="10" t="s">
        <v>114</v>
      </c>
      <c r="R329" s="10" t="s">
        <v>114</v>
      </c>
      <c r="S329" s="10" t="s">
        <v>114</v>
      </c>
      <c r="T329" s="10">
        <v>209.41397475306667</v>
      </c>
      <c r="U329" s="10">
        <v>200.23385580596786</v>
      </c>
      <c r="V329" s="10" t="s">
        <v>114</v>
      </c>
      <c r="W329" s="10" t="s">
        <v>114</v>
      </c>
      <c r="X329" s="10" t="s">
        <v>114</v>
      </c>
      <c r="Y329" s="10">
        <v>129.55629286724295</v>
      </c>
      <c r="Z329" s="10" t="s">
        <v>114</v>
      </c>
      <c r="AA329" s="10" t="s">
        <v>114</v>
      </c>
      <c r="AB329" s="10">
        <v>0.26371590186456845</v>
      </c>
      <c r="AC329" s="10" t="s">
        <v>114</v>
      </c>
      <c r="AD329" s="10" t="s">
        <v>114</v>
      </c>
      <c r="AE329" s="10" t="s">
        <v>114</v>
      </c>
      <c r="AF329" s="10">
        <v>1.7319889240150195E-3</v>
      </c>
      <c r="AG329" s="10">
        <v>2.6842095796411627</v>
      </c>
      <c r="AH329" s="10">
        <v>6.2445363986072672E-2</v>
      </c>
      <c r="AI329" s="10">
        <v>0.18860573426396074</v>
      </c>
      <c r="AJ329" s="10">
        <v>1.466166644234472E-2</v>
      </c>
      <c r="AK329" s="10">
        <v>4.2417192054736139E-2</v>
      </c>
      <c r="AL329" s="10" t="s">
        <v>114</v>
      </c>
      <c r="AM329" s="10" t="s">
        <v>114</v>
      </c>
      <c r="AN329" s="10" t="s">
        <v>114</v>
      </c>
      <c r="AO329" s="10" t="s">
        <v>114</v>
      </c>
      <c r="AP329" s="10">
        <v>1.9624088449630071E-2</v>
      </c>
      <c r="AQ329" s="10" t="s">
        <v>114</v>
      </c>
      <c r="AR329" s="10" t="s">
        <v>114</v>
      </c>
      <c r="AS329" s="10" t="s">
        <v>114</v>
      </c>
      <c r="AT329" s="10" t="s">
        <v>114</v>
      </c>
      <c r="AU329" s="10" t="s">
        <v>114</v>
      </c>
      <c r="AV329" s="10">
        <v>9.9371404214937883E-2</v>
      </c>
      <c r="AW329" s="10">
        <v>21.206743393696673</v>
      </c>
      <c r="AX329" s="10" t="s">
        <v>114</v>
      </c>
      <c r="AY329" s="10" t="s">
        <v>114</v>
      </c>
      <c r="AZ329" s="10" t="s">
        <v>114</v>
      </c>
      <c r="BA329" s="10" t="s">
        <v>114</v>
      </c>
      <c r="BB329" s="10" t="s">
        <v>114</v>
      </c>
      <c r="BC329" s="10" t="s">
        <v>114</v>
      </c>
      <c r="BD329" s="10">
        <v>0.29274431624866432</v>
      </c>
    </row>
    <row r="330" spans="1:56" x14ac:dyDescent="0.3">
      <c r="A330" t="s">
        <v>414</v>
      </c>
      <c r="B330" t="s">
        <v>384</v>
      </c>
      <c r="C330" s="10">
        <v>5842.0070092702699</v>
      </c>
      <c r="D330" s="10">
        <v>2917.8561766312896</v>
      </c>
      <c r="E330" s="10">
        <v>299.50335103279463</v>
      </c>
      <c r="F330" s="10">
        <v>165762.56879049545</v>
      </c>
      <c r="G330" s="10">
        <v>195.28375573598169</v>
      </c>
      <c r="H330" s="10">
        <v>373966.45796306251</v>
      </c>
      <c r="I330" s="10">
        <v>373025.22665352083</v>
      </c>
      <c r="J330" s="10">
        <v>17.201796604976639</v>
      </c>
      <c r="K330" s="10" t="s">
        <v>114</v>
      </c>
      <c r="L330" s="10">
        <v>1.1651010058349602</v>
      </c>
      <c r="M330" s="10">
        <v>21.562306310807863</v>
      </c>
      <c r="N330" s="10">
        <v>13.547609233325216</v>
      </c>
      <c r="O330" s="10">
        <v>21.446426659552415</v>
      </c>
      <c r="P330" s="10" t="s">
        <v>114</v>
      </c>
      <c r="Q330" s="10">
        <v>1.2369648828127033</v>
      </c>
      <c r="R330" s="10" t="s">
        <v>114</v>
      </c>
      <c r="S330" s="10" t="s">
        <v>114</v>
      </c>
      <c r="T330" s="10">
        <v>214.80439494994491</v>
      </c>
      <c r="U330" s="10">
        <v>207.49501372298189</v>
      </c>
      <c r="V330" s="10" t="s">
        <v>114</v>
      </c>
      <c r="W330" s="10" t="s">
        <v>114</v>
      </c>
      <c r="X330" s="10" t="s">
        <v>114</v>
      </c>
      <c r="Y330" s="10">
        <v>135.1951287782168</v>
      </c>
      <c r="Z330" s="10" t="s">
        <v>114</v>
      </c>
      <c r="AA330" s="10">
        <v>1.0590567962151969</v>
      </c>
      <c r="AB330" s="10">
        <v>0.97217148413883681</v>
      </c>
      <c r="AC330" s="10" t="s">
        <v>114</v>
      </c>
      <c r="AD330" s="10" t="s">
        <v>114</v>
      </c>
      <c r="AE330" s="10" t="s">
        <v>114</v>
      </c>
      <c r="AF330" s="10">
        <v>4.9560463032466808E-3</v>
      </c>
      <c r="AG330" s="10">
        <v>2.9543421792875182</v>
      </c>
      <c r="AH330" s="10">
        <v>2.7553496052834935E-2</v>
      </c>
      <c r="AI330" s="10" t="s">
        <v>114</v>
      </c>
      <c r="AJ330" s="10" t="s">
        <v>114</v>
      </c>
      <c r="AK330" s="10" t="s">
        <v>114</v>
      </c>
      <c r="AL330" s="10" t="s">
        <v>114</v>
      </c>
      <c r="AM330" s="10" t="s">
        <v>114</v>
      </c>
      <c r="AN330" s="10" t="s">
        <v>114</v>
      </c>
      <c r="AO330" s="10" t="s">
        <v>114</v>
      </c>
      <c r="AP330" s="10" t="s">
        <v>114</v>
      </c>
      <c r="AQ330" s="10" t="s">
        <v>114</v>
      </c>
      <c r="AR330" s="10" t="s">
        <v>114</v>
      </c>
      <c r="AS330" s="10" t="s">
        <v>114</v>
      </c>
      <c r="AT330" s="10" t="s">
        <v>114</v>
      </c>
      <c r="AU330" s="10" t="s">
        <v>114</v>
      </c>
      <c r="AV330" s="10">
        <v>0.31887704029718844</v>
      </c>
      <c r="AW330" s="10">
        <v>21.960290832229997</v>
      </c>
      <c r="AX330" s="10" t="s">
        <v>114</v>
      </c>
      <c r="AY330" s="10" t="s">
        <v>114</v>
      </c>
      <c r="AZ330" s="10" t="s">
        <v>114</v>
      </c>
      <c r="BA330" s="10" t="s">
        <v>114</v>
      </c>
      <c r="BB330" s="10" t="s">
        <v>114</v>
      </c>
      <c r="BC330" s="10">
        <v>0.21460073767481413</v>
      </c>
      <c r="BD330" s="10">
        <v>7.323924197257009E-2</v>
      </c>
    </row>
    <row r="331" spans="1:56" x14ac:dyDescent="0.3">
      <c r="A331" t="s">
        <v>415</v>
      </c>
      <c r="B331" t="s">
        <v>384</v>
      </c>
      <c r="C331" s="10">
        <v>7541.9009003159117</v>
      </c>
      <c r="D331" s="10">
        <v>3706.2685806116328</v>
      </c>
      <c r="E331" s="10">
        <v>57.408389397887213</v>
      </c>
      <c r="F331" s="10">
        <v>155263.61418574754</v>
      </c>
      <c r="G331" s="10">
        <v>260.71297478637854</v>
      </c>
      <c r="H331" s="10">
        <v>359218.38938971388</v>
      </c>
      <c r="I331" s="10">
        <v>357984.90931902302</v>
      </c>
      <c r="J331" s="10" t="s">
        <v>114</v>
      </c>
      <c r="K331" s="10">
        <v>0.54864632043000694</v>
      </c>
      <c r="L331" s="10">
        <v>2.1085036886167692</v>
      </c>
      <c r="M331" s="10">
        <v>22.708301813093207</v>
      </c>
      <c r="N331" s="10">
        <v>12.951262874294523</v>
      </c>
      <c r="O331" s="10">
        <v>19.329439381304198</v>
      </c>
      <c r="P331" s="10" t="s">
        <v>114</v>
      </c>
      <c r="Q331" s="10" t="s">
        <v>114</v>
      </c>
      <c r="R331" s="10" t="s">
        <v>114</v>
      </c>
      <c r="S331" s="10" t="s">
        <v>114</v>
      </c>
      <c r="T331" s="10">
        <v>95.944520499198092</v>
      </c>
      <c r="U331" s="10">
        <v>94.234749413316862</v>
      </c>
      <c r="V331" s="10" t="s">
        <v>114</v>
      </c>
      <c r="W331" s="10" t="s">
        <v>114</v>
      </c>
      <c r="X331" s="10" t="s">
        <v>114</v>
      </c>
      <c r="Y331" s="10">
        <v>235.58641765899102</v>
      </c>
      <c r="Z331" s="10" t="s">
        <v>114</v>
      </c>
      <c r="AA331" s="10">
        <v>0.55809074695797956</v>
      </c>
      <c r="AB331" s="10">
        <v>0.53602330619296101</v>
      </c>
      <c r="AC331" s="10" t="s">
        <v>114</v>
      </c>
      <c r="AD331" s="10" t="s">
        <v>114</v>
      </c>
      <c r="AE331" s="10" t="s">
        <v>114</v>
      </c>
      <c r="AF331" s="10">
        <v>1.5854672296090268E-3</v>
      </c>
      <c r="AG331" s="10">
        <v>4.9953791782553338</v>
      </c>
      <c r="AH331" s="10">
        <v>3.2486956442811965E-2</v>
      </c>
      <c r="AI331" s="10" t="s">
        <v>114</v>
      </c>
      <c r="AJ331" s="10" t="s">
        <v>114</v>
      </c>
      <c r="AK331" s="10" t="s">
        <v>114</v>
      </c>
      <c r="AL331" s="10" t="s">
        <v>114</v>
      </c>
      <c r="AM331" s="10" t="s">
        <v>114</v>
      </c>
      <c r="AN331" s="10" t="s">
        <v>114</v>
      </c>
      <c r="AO331" s="10" t="s">
        <v>114</v>
      </c>
      <c r="AP331" s="10" t="s">
        <v>114</v>
      </c>
      <c r="AQ331" s="10" t="s">
        <v>114</v>
      </c>
      <c r="AR331" s="10" t="s">
        <v>114</v>
      </c>
      <c r="AS331" s="10" t="s">
        <v>114</v>
      </c>
      <c r="AT331" s="10" t="s">
        <v>114</v>
      </c>
      <c r="AU331" s="10" t="s">
        <v>114</v>
      </c>
      <c r="AV331" s="10">
        <v>0.36901136657223677</v>
      </c>
      <c r="AW331" s="10">
        <v>22.248720555528614</v>
      </c>
      <c r="AX331" s="10" t="s">
        <v>114</v>
      </c>
      <c r="AY331" s="10" t="s">
        <v>114</v>
      </c>
      <c r="AZ331" s="10" t="s">
        <v>114</v>
      </c>
      <c r="BA331" s="10" t="s">
        <v>114</v>
      </c>
      <c r="BB331" s="10" t="s">
        <v>114</v>
      </c>
      <c r="BC331" s="10" t="s">
        <v>114</v>
      </c>
      <c r="BD331" s="10">
        <v>0.16540935176874499</v>
      </c>
    </row>
    <row r="332" spans="1:56" x14ac:dyDescent="0.3">
      <c r="A332" t="s">
        <v>416</v>
      </c>
      <c r="B332" t="s">
        <v>384</v>
      </c>
      <c r="C332" s="10">
        <v>6706.7100205499646</v>
      </c>
      <c r="D332" s="10">
        <v>3070.8062489175827</v>
      </c>
      <c r="E332" s="10">
        <v>60.24769975574246</v>
      </c>
      <c r="F332" s="10">
        <v>147275.97756910953</v>
      </c>
      <c r="G332" s="10">
        <v>220.07326093423509</v>
      </c>
      <c r="H332" s="10">
        <v>334257.30666460836</v>
      </c>
      <c r="I332" s="10">
        <v>331442.42442514317</v>
      </c>
      <c r="J332" s="10" t="s">
        <v>114</v>
      </c>
      <c r="K332" s="10" t="s">
        <v>114</v>
      </c>
      <c r="L332" s="10">
        <v>1.236090824681676</v>
      </c>
      <c r="M332" s="10">
        <v>20.153938170529297</v>
      </c>
      <c r="N332" s="10" t="s">
        <v>114</v>
      </c>
      <c r="O332" s="10">
        <v>13.491417579121576</v>
      </c>
      <c r="P332" s="10" t="s">
        <v>114</v>
      </c>
      <c r="Q332" s="10">
        <v>9.1404038021784046</v>
      </c>
      <c r="R332" s="10" t="s">
        <v>114</v>
      </c>
      <c r="S332" s="10" t="s">
        <v>114</v>
      </c>
      <c r="T332" s="10">
        <v>171.5981125975191</v>
      </c>
      <c r="U332" s="10">
        <v>162.30428052995418</v>
      </c>
      <c r="V332" s="10" t="s">
        <v>114</v>
      </c>
      <c r="W332" s="10" t="s">
        <v>114</v>
      </c>
      <c r="X332" s="10" t="s">
        <v>114</v>
      </c>
      <c r="Y332" s="10">
        <v>89.296798913635243</v>
      </c>
      <c r="Z332" s="10" t="s">
        <v>114</v>
      </c>
      <c r="AA332" s="10">
        <v>0.48669069454470393</v>
      </c>
      <c r="AB332" s="10">
        <v>0.37463004374261527</v>
      </c>
      <c r="AC332" s="10" t="s">
        <v>114</v>
      </c>
      <c r="AD332" s="10" t="s">
        <v>114</v>
      </c>
      <c r="AE332" s="10" t="s">
        <v>114</v>
      </c>
      <c r="AF332" s="10">
        <v>1.0763160581739638E-3</v>
      </c>
      <c r="AG332" s="10">
        <v>2.5496113524089443</v>
      </c>
      <c r="AH332" s="10">
        <v>0.11371504174805921</v>
      </c>
      <c r="AI332" s="10">
        <v>0.29299968824574807</v>
      </c>
      <c r="AJ332" s="10">
        <v>2.4766419610162155E-2</v>
      </c>
      <c r="AK332" s="10">
        <v>0.11544532504508627</v>
      </c>
      <c r="AL332" s="10" t="s">
        <v>114</v>
      </c>
      <c r="AM332" s="10" t="s">
        <v>114</v>
      </c>
      <c r="AN332" s="10">
        <v>2.194480996762593E-2</v>
      </c>
      <c r="AO332" s="10" t="s">
        <v>114</v>
      </c>
      <c r="AP332" s="10">
        <v>2.4818308733119517E-2</v>
      </c>
      <c r="AQ332" s="10" t="s">
        <v>114</v>
      </c>
      <c r="AR332" s="10">
        <v>1.8531568507590038E-2</v>
      </c>
      <c r="AS332" s="10" t="s">
        <v>114</v>
      </c>
      <c r="AT332" s="10" t="s">
        <v>114</v>
      </c>
      <c r="AU332" s="10" t="s">
        <v>114</v>
      </c>
      <c r="AV332" s="10">
        <v>0.16634033931904346</v>
      </c>
      <c r="AW332" s="10">
        <v>23.571540726264089</v>
      </c>
      <c r="AX332" s="10" t="s">
        <v>114</v>
      </c>
      <c r="AY332" s="10" t="s">
        <v>114</v>
      </c>
      <c r="AZ332" s="10" t="s">
        <v>114</v>
      </c>
      <c r="BA332" s="10" t="s">
        <v>114</v>
      </c>
      <c r="BB332" s="10" t="s">
        <v>114</v>
      </c>
      <c r="BC332" s="10" t="s">
        <v>114</v>
      </c>
      <c r="BD332" s="10" t="s">
        <v>114</v>
      </c>
    </row>
    <row r="333" spans="1:56" x14ac:dyDescent="0.3">
      <c r="A333" t="s">
        <v>417</v>
      </c>
      <c r="B333" t="s">
        <v>384</v>
      </c>
      <c r="C333" s="10">
        <v>5835.5218560550029</v>
      </c>
      <c r="D333" s="10">
        <v>2673.0206865439095</v>
      </c>
      <c r="E333" s="10">
        <v>50.992278307939067</v>
      </c>
      <c r="F333" s="10">
        <v>124831.73621180873</v>
      </c>
      <c r="G333" s="10">
        <v>196.59323612200319</v>
      </c>
      <c r="H333" s="10">
        <v>285309.66638240643</v>
      </c>
      <c r="I333" s="10">
        <v>284184.76691424957</v>
      </c>
      <c r="J333" s="10">
        <v>7.1877464754803615</v>
      </c>
      <c r="K333" s="10" t="s">
        <v>114</v>
      </c>
      <c r="L333" s="10">
        <v>0.96772811441661788</v>
      </c>
      <c r="M333" s="10">
        <v>22.312360481752581</v>
      </c>
      <c r="N333" s="10" t="s">
        <v>114</v>
      </c>
      <c r="O333" s="10" t="s">
        <v>114</v>
      </c>
      <c r="P333" s="10" t="s">
        <v>114</v>
      </c>
      <c r="Q333" s="10">
        <v>9.4459855414749967</v>
      </c>
      <c r="R333" s="10" t="s">
        <v>114</v>
      </c>
      <c r="S333" s="10" t="s">
        <v>114</v>
      </c>
      <c r="T333" s="10">
        <v>76.489418300897015</v>
      </c>
      <c r="U333" s="10">
        <v>73.734542083551844</v>
      </c>
      <c r="V333" s="10" t="s">
        <v>114</v>
      </c>
      <c r="W333" s="10" t="s">
        <v>114</v>
      </c>
      <c r="X333" s="10" t="s">
        <v>114</v>
      </c>
      <c r="Y333" s="10">
        <v>69.391590897354504</v>
      </c>
      <c r="Z333" s="10" t="s">
        <v>114</v>
      </c>
      <c r="AA333" s="10" t="s">
        <v>114</v>
      </c>
      <c r="AB333" s="10" t="s">
        <v>114</v>
      </c>
      <c r="AC333" s="10" t="s">
        <v>114</v>
      </c>
      <c r="AD333" s="10" t="s">
        <v>114</v>
      </c>
      <c r="AE333" s="10" t="s">
        <v>114</v>
      </c>
      <c r="AF333" s="10">
        <v>1.1932330164580052E-3</v>
      </c>
      <c r="AG333" s="10">
        <v>1.2181180438692074</v>
      </c>
      <c r="AH333" s="10">
        <v>5.3043317571078594E-2</v>
      </c>
      <c r="AI333" s="10">
        <v>0.1258318912744433</v>
      </c>
      <c r="AJ333" s="10">
        <v>1.4082375979646707E-2</v>
      </c>
      <c r="AK333" s="10">
        <v>6.0390896430562252E-2</v>
      </c>
      <c r="AL333" s="10" t="s">
        <v>114</v>
      </c>
      <c r="AM333" s="10" t="s">
        <v>114</v>
      </c>
      <c r="AN333" s="10">
        <v>1.0573353172501902E-2</v>
      </c>
      <c r="AO333" s="10" t="s">
        <v>114</v>
      </c>
      <c r="AP333" s="10">
        <v>1.3756207049921317E-2</v>
      </c>
      <c r="AQ333" s="10" t="s">
        <v>114</v>
      </c>
      <c r="AR333" s="10" t="s">
        <v>114</v>
      </c>
      <c r="AS333" s="10" t="s">
        <v>114</v>
      </c>
      <c r="AT333" s="10" t="s">
        <v>114</v>
      </c>
      <c r="AU333" s="10" t="s">
        <v>114</v>
      </c>
      <c r="AV333" s="10">
        <v>0.13387807112773695</v>
      </c>
      <c r="AW333" s="10">
        <v>21.741993281816878</v>
      </c>
      <c r="AX333" s="10" t="s">
        <v>114</v>
      </c>
      <c r="AY333" s="10" t="s">
        <v>114</v>
      </c>
      <c r="AZ333" s="10" t="s">
        <v>114</v>
      </c>
      <c r="BA333" s="10" t="s">
        <v>114</v>
      </c>
      <c r="BB333" s="10" t="s">
        <v>114</v>
      </c>
      <c r="BC333" s="10" t="s">
        <v>114</v>
      </c>
      <c r="BD333" s="10" t="s">
        <v>114</v>
      </c>
    </row>
    <row r="334" spans="1:56" x14ac:dyDescent="0.3">
      <c r="A334" t="s">
        <v>418</v>
      </c>
      <c r="B334" t="s">
        <v>384</v>
      </c>
      <c r="C334" s="10">
        <v>6801.1231079814697</v>
      </c>
      <c r="D334" s="10">
        <v>3458.4096242894916</v>
      </c>
      <c r="E334" s="10">
        <v>285.0777469921469</v>
      </c>
      <c r="F334" s="10">
        <v>158780.6746795394</v>
      </c>
      <c r="G334" s="10">
        <v>330.94801249035561</v>
      </c>
      <c r="H334" s="10">
        <v>358561.59018405137</v>
      </c>
      <c r="I334" s="10">
        <v>359891.82423441426</v>
      </c>
      <c r="J334" s="10">
        <v>446.5956113143713</v>
      </c>
      <c r="K334" s="10">
        <v>1.0238814691375067</v>
      </c>
      <c r="L334" s="10">
        <v>1.8121049541638836</v>
      </c>
      <c r="M334" s="10">
        <v>34.395182483099092</v>
      </c>
      <c r="N334" s="10">
        <v>168.84133404664519</v>
      </c>
      <c r="O334" s="10">
        <v>175.87001085106789</v>
      </c>
      <c r="P334" s="10" t="s">
        <v>114</v>
      </c>
      <c r="Q334" s="10">
        <v>28.350923746519779</v>
      </c>
      <c r="R334" s="10" t="s">
        <v>114</v>
      </c>
      <c r="S334" s="10" t="s">
        <v>114</v>
      </c>
      <c r="T334" s="10">
        <v>139.37201444907726</v>
      </c>
      <c r="U334" s="10">
        <v>133.54649588733969</v>
      </c>
      <c r="V334" s="10">
        <v>2.3504649775398501</v>
      </c>
      <c r="W334" s="10" t="s">
        <v>114</v>
      </c>
      <c r="X334" s="10" t="s">
        <v>114</v>
      </c>
      <c r="Y334" s="10">
        <v>240.89562235127997</v>
      </c>
      <c r="Z334" s="10" t="s">
        <v>114</v>
      </c>
      <c r="AA334" s="10">
        <v>0.34137180160183367</v>
      </c>
      <c r="AB334" s="10" t="s">
        <v>114</v>
      </c>
      <c r="AC334" s="10" t="s">
        <v>114</v>
      </c>
      <c r="AD334" s="10" t="s">
        <v>114</v>
      </c>
      <c r="AE334" s="10" t="s">
        <v>114</v>
      </c>
      <c r="AF334" s="10">
        <v>5.2339742124370382E-3</v>
      </c>
      <c r="AG334" s="10">
        <v>3.8688166930550225</v>
      </c>
      <c r="AH334" s="10">
        <v>0.50530406754465151</v>
      </c>
      <c r="AI334" s="10">
        <v>1.2202954881534063</v>
      </c>
      <c r="AJ334" s="10">
        <v>0.11101899554687594</v>
      </c>
      <c r="AK334" s="10">
        <v>0.48693746695126106</v>
      </c>
      <c r="AL334" s="10">
        <v>8.7742175520430385E-2</v>
      </c>
      <c r="AM334" s="10">
        <v>2.8989037382996921E-2</v>
      </c>
      <c r="AN334" s="10">
        <v>0.13403780611689203</v>
      </c>
      <c r="AO334" s="10" t="s">
        <v>114</v>
      </c>
      <c r="AP334" s="10">
        <v>0.12165216278678968</v>
      </c>
      <c r="AQ334" s="10" t="s">
        <v>114</v>
      </c>
      <c r="AR334" s="10">
        <v>6.4169629499476355E-2</v>
      </c>
      <c r="AS334" s="10">
        <v>8.3433156214086455E-3</v>
      </c>
      <c r="AT334" s="10">
        <v>6.2282280239805615E-2</v>
      </c>
      <c r="AU334" s="10">
        <v>7.8256907416621741E-3</v>
      </c>
      <c r="AV334" s="10">
        <v>0.24687290847533488</v>
      </c>
      <c r="AW334" s="10">
        <v>22.81200260638596</v>
      </c>
      <c r="AX334" s="10" t="s">
        <v>114</v>
      </c>
      <c r="AY334" s="10" t="s">
        <v>114</v>
      </c>
      <c r="AZ334" s="10" t="s">
        <v>114</v>
      </c>
      <c r="BA334" s="10" t="s">
        <v>114</v>
      </c>
      <c r="BB334" s="10" t="s">
        <v>114</v>
      </c>
      <c r="BC334" s="10" t="s">
        <v>114</v>
      </c>
      <c r="BD334" s="10">
        <v>1.0116652977791205</v>
      </c>
    </row>
    <row r="335" spans="1:56" x14ac:dyDescent="0.3">
      <c r="A335" t="s">
        <v>419</v>
      </c>
      <c r="B335" t="s">
        <v>384</v>
      </c>
      <c r="C335" s="10">
        <v>6160.3514487951734</v>
      </c>
      <c r="D335" s="10">
        <v>2649.9853450681371</v>
      </c>
      <c r="E335" s="10">
        <v>84.998683291439704</v>
      </c>
      <c r="F335" s="10">
        <v>154747.52873011469</v>
      </c>
      <c r="G335" s="10">
        <v>219.7361547003083</v>
      </c>
      <c r="H335" s="10">
        <v>354706.23405578308</v>
      </c>
      <c r="I335" s="10">
        <v>353785.55159692309</v>
      </c>
      <c r="J335" s="10">
        <v>82.278370242661623</v>
      </c>
      <c r="K335" s="10" t="s">
        <v>114</v>
      </c>
      <c r="L335" s="10">
        <v>0.80568177157484833</v>
      </c>
      <c r="M335" s="10">
        <v>30.067986795025927</v>
      </c>
      <c r="N335" s="10">
        <v>51.566355518514861</v>
      </c>
      <c r="O335" s="10">
        <v>58.497399622774971</v>
      </c>
      <c r="P335" s="10" t="s">
        <v>114</v>
      </c>
      <c r="Q335" s="10">
        <v>29.590002669099455</v>
      </c>
      <c r="R335" s="10" t="s">
        <v>114</v>
      </c>
      <c r="S335" s="10" t="s">
        <v>114</v>
      </c>
      <c r="T335" s="10">
        <v>295.19384793673004</v>
      </c>
      <c r="U335" s="10">
        <v>281.87135273769212</v>
      </c>
      <c r="V335" s="10">
        <v>1.1052637644344219</v>
      </c>
      <c r="W335" s="10" t="s">
        <v>114</v>
      </c>
      <c r="X335" s="10" t="s">
        <v>114</v>
      </c>
      <c r="Y335" s="10">
        <v>128.39323218290195</v>
      </c>
      <c r="Z335" s="10" t="s">
        <v>114</v>
      </c>
      <c r="AA335" s="10">
        <v>0.3183768902099412</v>
      </c>
      <c r="AB335" s="10" t="s">
        <v>114</v>
      </c>
      <c r="AC335" s="10" t="s">
        <v>114</v>
      </c>
      <c r="AD335" s="10" t="s">
        <v>114</v>
      </c>
      <c r="AE335" s="10" t="s">
        <v>114</v>
      </c>
      <c r="AF335" s="10">
        <v>3.1693361040277157E-3</v>
      </c>
      <c r="AG335" s="10">
        <v>2.3283777675808426</v>
      </c>
      <c r="AH335" s="10">
        <v>0.2747557432634265</v>
      </c>
      <c r="AI335" s="10">
        <v>0.63144065976783748</v>
      </c>
      <c r="AJ335" s="10">
        <v>5.9707769188066813E-2</v>
      </c>
      <c r="AK335" s="10">
        <v>0.22226489396299853</v>
      </c>
      <c r="AL335" s="10">
        <v>6.7138912996190264E-2</v>
      </c>
      <c r="AM335" s="10">
        <v>1.7112576729252971E-2</v>
      </c>
      <c r="AN335" s="10">
        <v>5.529477783386022E-2</v>
      </c>
      <c r="AO335" s="10" t="s">
        <v>114</v>
      </c>
      <c r="AP335" s="10">
        <v>6.6732975167674041E-2</v>
      </c>
      <c r="AQ335" s="10" t="s">
        <v>114</v>
      </c>
      <c r="AR335" s="10">
        <v>3.4132446951214278E-2</v>
      </c>
      <c r="AS335" s="10" t="s">
        <v>114</v>
      </c>
      <c r="AT335" s="10">
        <v>2.5523575170115616E-2</v>
      </c>
      <c r="AU335" s="10" t="s">
        <v>114</v>
      </c>
      <c r="AV335" s="10">
        <v>0.12972608454429055</v>
      </c>
      <c r="AW335" s="10">
        <v>22.902294085386956</v>
      </c>
      <c r="AX335" s="10" t="s">
        <v>114</v>
      </c>
      <c r="AY335" s="10" t="s">
        <v>114</v>
      </c>
      <c r="AZ335" s="10" t="s">
        <v>114</v>
      </c>
      <c r="BA335" s="10" t="s">
        <v>114</v>
      </c>
      <c r="BB335" s="10" t="s">
        <v>114</v>
      </c>
      <c r="BC335" s="10" t="s">
        <v>114</v>
      </c>
      <c r="BD335" s="10">
        <v>0.46202253763525669</v>
      </c>
    </row>
    <row r="336" spans="1:56" x14ac:dyDescent="0.3">
      <c r="A336" t="s">
        <v>420</v>
      </c>
      <c r="B336" t="s">
        <v>384</v>
      </c>
      <c r="C336" s="10">
        <v>7208.9916198620958</v>
      </c>
      <c r="D336" s="10">
        <v>3769.2787799330927</v>
      </c>
      <c r="E336" s="10">
        <v>233.89851671085688</v>
      </c>
      <c r="F336" s="10">
        <v>147828.30728034562</v>
      </c>
      <c r="G336" s="10">
        <v>238.78855714988978</v>
      </c>
      <c r="H336" s="10">
        <v>338124.85726981272</v>
      </c>
      <c r="I336" s="10">
        <v>337884.4619672402</v>
      </c>
      <c r="J336" s="10">
        <v>6.2300273151284529</v>
      </c>
      <c r="K336" s="10">
        <v>0.35092187556961107</v>
      </c>
      <c r="L336" s="10">
        <v>2.0119269497911523</v>
      </c>
      <c r="M336" s="10">
        <v>24.90779790285556</v>
      </c>
      <c r="N336" s="10">
        <v>16.236612400208763</v>
      </c>
      <c r="O336" s="10">
        <v>19.371717185818913</v>
      </c>
      <c r="P336" s="10" t="s">
        <v>114</v>
      </c>
      <c r="Q336" s="10" t="s">
        <v>114</v>
      </c>
      <c r="R336" s="10" t="s">
        <v>114</v>
      </c>
      <c r="S336" s="10" t="s">
        <v>114</v>
      </c>
      <c r="T336" s="10">
        <v>149.14505318636387</v>
      </c>
      <c r="U336" s="10">
        <v>142.80618669866169</v>
      </c>
      <c r="V336" s="10" t="s">
        <v>114</v>
      </c>
      <c r="W336" s="10" t="s">
        <v>114</v>
      </c>
      <c r="X336" s="10" t="s">
        <v>114</v>
      </c>
      <c r="Y336" s="10">
        <v>219.45872999712154</v>
      </c>
      <c r="Z336" s="10" t="s">
        <v>114</v>
      </c>
      <c r="AA336" s="10">
        <v>1.1409853645705454</v>
      </c>
      <c r="AB336" s="10">
        <v>1.1331838726218728</v>
      </c>
      <c r="AC336" s="10" t="s">
        <v>114</v>
      </c>
      <c r="AD336" s="10" t="s">
        <v>114</v>
      </c>
      <c r="AE336" s="10" t="s">
        <v>114</v>
      </c>
      <c r="AF336" s="10">
        <v>2.7006951397161865E-3</v>
      </c>
      <c r="AG336" s="10">
        <v>9.8032974965581321</v>
      </c>
      <c r="AH336" s="10">
        <v>0.11538025003709958</v>
      </c>
      <c r="AI336" s="10">
        <v>0.42584283065510387</v>
      </c>
      <c r="AJ336" s="10">
        <v>2.4851264179559827E-2</v>
      </c>
      <c r="AK336" s="10">
        <v>0.11505193311626721</v>
      </c>
      <c r="AL336" s="10">
        <v>2.2536044557726214E-2</v>
      </c>
      <c r="AM336" s="10" t="s">
        <v>114</v>
      </c>
      <c r="AN336" s="10">
        <v>2.3055616931803725E-2</v>
      </c>
      <c r="AO336" s="10" t="s">
        <v>114</v>
      </c>
      <c r="AP336" s="10">
        <v>2.4011059158935387E-2</v>
      </c>
      <c r="AQ336" s="10" t="s">
        <v>114</v>
      </c>
      <c r="AR336" s="10">
        <v>1.4601908818677999E-2</v>
      </c>
      <c r="AS336" s="10" t="s">
        <v>114</v>
      </c>
      <c r="AT336" s="10">
        <v>2.1335185077487509E-2</v>
      </c>
      <c r="AU336" s="10" t="s">
        <v>114</v>
      </c>
      <c r="AV336" s="10">
        <v>0.4864587289699992</v>
      </c>
      <c r="AW336" s="10">
        <v>23.857620142360386</v>
      </c>
      <c r="AX336" s="10" t="s">
        <v>114</v>
      </c>
      <c r="AY336" s="10" t="s">
        <v>114</v>
      </c>
      <c r="AZ336" s="10">
        <v>70.744112744671668</v>
      </c>
      <c r="BA336" s="10">
        <v>63.762026319299608</v>
      </c>
      <c r="BB336" s="10">
        <v>65.627186098362785</v>
      </c>
      <c r="BC336" s="10">
        <v>0.28902748721957339</v>
      </c>
      <c r="BD336" s="10">
        <v>0.12801126538264265</v>
      </c>
    </row>
    <row r="337" spans="1:56" x14ac:dyDescent="0.3">
      <c r="A337" t="s">
        <v>421</v>
      </c>
      <c r="B337" t="s">
        <v>384</v>
      </c>
      <c r="C337" s="10">
        <v>6001.6691302297941</v>
      </c>
      <c r="D337" s="10">
        <v>2407.4086200207139</v>
      </c>
      <c r="E337" s="10">
        <v>60.129925357040868</v>
      </c>
      <c r="F337" s="10">
        <v>137334.26609870608</v>
      </c>
      <c r="G337" s="10">
        <v>231.29390744819966</v>
      </c>
      <c r="H337" s="10">
        <v>314741.97671841807</v>
      </c>
      <c r="I337" s="10">
        <v>316446.47103874694</v>
      </c>
      <c r="J337" s="10">
        <v>23.06949640335576</v>
      </c>
      <c r="K337" s="10" t="s">
        <v>114</v>
      </c>
      <c r="L337" s="10">
        <v>1.6781774172875661</v>
      </c>
      <c r="M337" s="10">
        <v>19.199549458933756</v>
      </c>
      <c r="N337" s="10">
        <v>38.083878251514385</v>
      </c>
      <c r="O337" s="10">
        <v>41.48424781809598</v>
      </c>
      <c r="P337" s="10" t="s">
        <v>114</v>
      </c>
      <c r="Q337" s="10">
        <v>1.771110751071161</v>
      </c>
      <c r="R337" s="10" t="s">
        <v>114</v>
      </c>
      <c r="S337" s="10" t="s">
        <v>114</v>
      </c>
      <c r="T337" s="10">
        <v>151.32347175510435</v>
      </c>
      <c r="U337" s="10">
        <v>147.35787174491276</v>
      </c>
      <c r="V337" s="10" t="s">
        <v>114</v>
      </c>
      <c r="W337" s="10" t="s">
        <v>114</v>
      </c>
      <c r="X337" s="10" t="s">
        <v>114</v>
      </c>
      <c r="Y337" s="10">
        <v>243.57366521962092</v>
      </c>
      <c r="Z337" s="10" t="s">
        <v>114</v>
      </c>
      <c r="AA337" s="10">
        <v>0.53488377579535251</v>
      </c>
      <c r="AB337" s="10">
        <v>0.50347592442325084</v>
      </c>
      <c r="AC337" s="10" t="s">
        <v>114</v>
      </c>
      <c r="AD337" s="10" t="s">
        <v>114</v>
      </c>
      <c r="AE337" s="10" t="s">
        <v>114</v>
      </c>
      <c r="AF337" s="10">
        <v>2.94727203969767E-3</v>
      </c>
      <c r="AG337" s="10">
        <v>1.6451687516679878</v>
      </c>
      <c r="AH337" s="10">
        <v>0.13832039547713146</v>
      </c>
      <c r="AI337" s="10">
        <v>0.30795522807723624</v>
      </c>
      <c r="AJ337" s="10">
        <v>2.9503530860584472E-2</v>
      </c>
      <c r="AK337" s="10">
        <v>0.10947741891905617</v>
      </c>
      <c r="AL337" s="10" t="s">
        <v>114</v>
      </c>
      <c r="AM337" s="10" t="s">
        <v>114</v>
      </c>
      <c r="AN337" s="10">
        <v>1.8056465431334816E-2</v>
      </c>
      <c r="AO337" s="10" t="s">
        <v>114</v>
      </c>
      <c r="AP337" s="10">
        <v>3.3376039222720116E-2</v>
      </c>
      <c r="AQ337" s="10" t="s">
        <v>114</v>
      </c>
      <c r="AR337" s="10">
        <v>1.818373749651752E-2</v>
      </c>
      <c r="AS337" s="10" t="s">
        <v>114</v>
      </c>
      <c r="AT337" s="10">
        <v>1.8820272446224081E-2</v>
      </c>
      <c r="AU337" s="10">
        <v>2.6117209919885686E-3</v>
      </c>
      <c r="AV337" s="10">
        <v>0.30301994089610934</v>
      </c>
      <c r="AW337" s="10">
        <v>21.767745730486851</v>
      </c>
      <c r="AX337" s="10" t="s">
        <v>114</v>
      </c>
      <c r="AY337" s="10" t="s">
        <v>114</v>
      </c>
      <c r="AZ337" s="10" t="s">
        <v>114</v>
      </c>
      <c r="BA337" s="10" t="s">
        <v>114</v>
      </c>
      <c r="BB337" s="10" t="s">
        <v>114</v>
      </c>
      <c r="BC337" s="10" t="s">
        <v>114</v>
      </c>
      <c r="BD337" s="10">
        <v>0.25635122919698339</v>
      </c>
    </row>
    <row r="338" spans="1:56" x14ac:dyDescent="0.3">
      <c r="A338" t="s">
        <v>422</v>
      </c>
      <c r="B338" t="s">
        <v>384</v>
      </c>
      <c r="C338" s="10">
        <v>6515.1988854343535</v>
      </c>
      <c r="D338" s="10">
        <v>2650.6477517740477</v>
      </c>
      <c r="E338" s="10">
        <v>292.19284722787449</v>
      </c>
      <c r="F338" s="10">
        <v>161169.46118871891</v>
      </c>
      <c r="G338" s="10">
        <v>272.00030078780304</v>
      </c>
      <c r="H338" s="10">
        <v>363652.73699880426</v>
      </c>
      <c r="I338" s="10">
        <v>362424.19198920985</v>
      </c>
      <c r="J338" s="10">
        <v>11.473087506808996</v>
      </c>
      <c r="K338" s="10" t="s">
        <v>114</v>
      </c>
      <c r="L338" s="10">
        <v>1.991828309766895</v>
      </c>
      <c r="M338" s="10">
        <v>21.169153861752516</v>
      </c>
      <c r="N338" s="10">
        <v>20.553259850050512</v>
      </c>
      <c r="O338" s="10">
        <v>24.12235215133423</v>
      </c>
      <c r="P338" s="10" t="s">
        <v>114</v>
      </c>
      <c r="Q338" s="10">
        <v>1.2104108632052601</v>
      </c>
      <c r="R338" s="10" t="s">
        <v>114</v>
      </c>
      <c r="S338" s="10" t="s">
        <v>114</v>
      </c>
      <c r="T338" s="10">
        <v>202.9284844016216</v>
      </c>
      <c r="U338" s="10">
        <v>197.66156783092461</v>
      </c>
      <c r="V338" s="10" t="s">
        <v>114</v>
      </c>
      <c r="W338" s="10" t="s">
        <v>114</v>
      </c>
      <c r="X338" s="10" t="s">
        <v>114</v>
      </c>
      <c r="Y338" s="10">
        <v>85.461425034083717</v>
      </c>
      <c r="Z338" s="10" t="s">
        <v>114</v>
      </c>
      <c r="AA338" s="10">
        <v>0.35298972428897091</v>
      </c>
      <c r="AB338" s="10" t="s">
        <v>114</v>
      </c>
      <c r="AC338" s="10" t="s">
        <v>114</v>
      </c>
      <c r="AD338" s="10" t="s">
        <v>114</v>
      </c>
      <c r="AE338" s="10" t="s">
        <v>114</v>
      </c>
      <c r="AF338" s="10">
        <v>1.9406082439015438E-3</v>
      </c>
      <c r="AG338" s="10">
        <v>1.0551869369084386</v>
      </c>
      <c r="AH338" s="10">
        <v>0.28002211792270104</v>
      </c>
      <c r="AI338" s="10">
        <v>0.82163359348856979</v>
      </c>
      <c r="AJ338" s="10">
        <v>6.2449275407736142E-2</v>
      </c>
      <c r="AK338" s="10">
        <v>0.28741268400983389</v>
      </c>
      <c r="AL338" s="10">
        <v>3.4252755946225288E-2</v>
      </c>
      <c r="AM338" s="10">
        <v>1.3927762369013091E-2</v>
      </c>
      <c r="AN338" s="10">
        <v>7.9357001443065359E-2</v>
      </c>
      <c r="AO338" s="10" t="s">
        <v>114</v>
      </c>
      <c r="AP338" s="10">
        <v>6.3496751943215038E-2</v>
      </c>
      <c r="AQ338" s="10" t="s">
        <v>114</v>
      </c>
      <c r="AR338" s="10">
        <v>3.125062120704257E-2</v>
      </c>
      <c r="AS338" s="10">
        <v>3.0496560025201729E-3</v>
      </c>
      <c r="AT338" s="10">
        <v>3.1579650295833261E-2</v>
      </c>
      <c r="AU338" s="10">
        <v>3.7276978038011483E-3</v>
      </c>
      <c r="AV338" s="10">
        <v>0.15620931731786133</v>
      </c>
      <c r="AW338" s="10">
        <v>23.327427603833204</v>
      </c>
      <c r="AX338" s="10" t="s">
        <v>114</v>
      </c>
      <c r="AY338" s="10" t="s">
        <v>114</v>
      </c>
      <c r="AZ338" s="10" t="s">
        <v>114</v>
      </c>
      <c r="BA338" s="10" t="s">
        <v>114</v>
      </c>
      <c r="BB338" s="10" t="s">
        <v>114</v>
      </c>
      <c r="BC338" s="10" t="s">
        <v>114</v>
      </c>
      <c r="BD338" s="10" t="s">
        <v>114</v>
      </c>
    </row>
    <row r="339" spans="1:56" x14ac:dyDescent="0.3">
      <c r="A339" t="s">
        <v>423</v>
      </c>
      <c r="B339" t="s">
        <v>384</v>
      </c>
      <c r="C339" s="10">
        <v>6365.0380825743941</v>
      </c>
      <c r="D339" s="10">
        <v>2769.3752417347705</v>
      </c>
      <c r="E339" s="10">
        <v>227.50851617153762</v>
      </c>
      <c r="F339" s="10">
        <v>170675.36144905756</v>
      </c>
      <c r="G339" s="10">
        <v>247.37066218090567</v>
      </c>
      <c r="H339" s="10">
        <v>389650.55083193607</v>
      </c>
      <c r="I339" s="10">
        <v>387269.02908270538</v>
      </c>
      <c r="J339" s="10">
        <v>67.145261695966411</v>
      </c>
      <c r="K339" s="10" t="s">
        <v>114</v>
      </c>
      <c r="L339" s="10">
        <v>2.9975202504352683</v>
      </c>
      <c r="M339" s="10">
        <v>26.514533942272102</v>
      </c>
      <c r="N339" s="10">
        <v>28.213003902543228</v>
      </c>
      <c r="O339" s="10">
        <v>33.623392589706761</v>
      </c>
      <c r="P339" s="10" t="s">
        <v>114</v>
      </c>
      <c r="Q339" s="10">
        <v>1.971153132797316</v>
      </c>
      <c r="R339" s="10" t="s">
        <v>114</v>
      </c>
      <c r="S339" s="10" t="s">
        <v>114</v>
      </c>
      <c r="T339" s="10">
        <v>319.4072725966526</v>
      </c>
      <c r="U339" s="10">
        <v>304.7837416134409</v>
      </c>
      <c r="V339" s="10">
        <v>1.3205299244019786</v>
      </c>
      <c r="W339" s="10" t="s">
        <v>114</v>
      </c>
      <c r="X339" s="10" t="s">
        <v>114</v>
      </c>
      <c r="Y339" s="10">
        <v>539.22525450558226</v>
      </c>
      <c r="Z339" s="10" t="s">
        <v>114</v>
      </c>
      <c r="AA339" s="10" t="s">
        <v>114</v>
      </c>
      <c r="AB339" s="10" t="s">
        <v>114</v>
      </c>
      <c r="AC339" s="10" t="s">
        <v>114</v>
      </c>
      <c r="AD339" s="10" t="s">
        <v>114</v>
      </c>
      <c r="AE339" s="10" t="s">
        <v>114</v>
      </c>
      <c r="AF339" s="10">
        <v>2.4031578807702349E-3</v>
      </c>
      <c r="AG339" s="10">
        <v>8.8535183467989231</v>
      </c>
      <c r="AH339" s="10">
        <v>3.1977097023642771</v>
      </c>
      <c r="AI339" s="10">
        <v>6.8357050260887702</v>
      </c>
      <c r="AJ339" s="10">
        <v>0.60061914955182816</v>
      </c>
      <c r="AK339" s="10">
        <v>2.4966905088323523</v>
      </c>
      <c r="AL339" s="10">
        <v>0.51906420835124145</v>
      </c>
      <c r="AM339" s="10">
        <v>0.13877275473258679</v>
      </c>
      <c r="AN339" s="10">
        <v>0.61460502345152479</v>
      </c>
      <c r="AO339" s="10">
        <v>7.7102715194099905E-2</v>
      </c>
      <c r="AP339" s="10">
        <v>0.57686147737583793</v>
      </c>
      <c r="AQ339" s="10">
        <v>0.10142183980987432</v>
      </c>
      <c r="AR339" s="10">
        <v>0.32745410219804233</v>
      </c>
      <c r="AS339" s="10">
        <v>4.1506485968891955E-2</v>
      </c>
      <c r="AT339" s="10">
        <v>0.21892925156124982</v>
      </c>
      <c r="AU339" s="10">
        <v>3.1593165769299228E-2</v>
      </c>
      <c r="AV339" s="10">
        <v>0.23777690320101805</v>
      </c>
      <c r="AW339" s="10">
        <v>23.47371687075746</v>
      </c>
      <c r="AX339" s="10" t="s">
        <v>114</v>
      </c>
      <c r="AY339" s="10" t="s">
        <v>114</v>
      </c>
      <c r="AZ339" s="10">
        <v>2.8112562822757337</v>
      </c>
      <c r="BA339" s="10">
        <v>2.5157016760550315</v>
      </c>
      <c r="BB339" s="10">
        <v>2.6106416107504051</v>
      </c>
      <c r="BC339" s="10" t="s">
        <v>114</v>
      </c>
      <c r="BD339" s="10">
        <v>0.36497218124490954</v>
      </c>
    </row>
    <row r="340" spans="1:56" x14ac:dyDescent="0.3">
      <c r="A340" t="s">
        <v>424</v>
      </c>
      <c r="B340" t="s">
        <v>384</v>
      </c>
      <c r="C340" s="10">
        <v>6690.5803795741185</v>
      </c>
      <c r="D340" s="10">
        <v>3777.5723050211895</v>
      </c>
      <c r="E340" s="10">
        <v>38.128055365027201</v>
      </c>
      <c r="F340" s="10">
        <v>184139.61592937959</v>
      </c>
      <c r="G340" s="10">
        <v>261.17296918487642</v>
      </c>
      <c r="H340" s="10">
        <v>411759.34367880458</v>
      </c>
      <c r="I340" s="10">
        <v>410572.22145477321</v>
      </c>
      <c r="J340" s="10">
        <v>7.5871798440157638</v>
      </c>
      <c r="K340" s="10" t="s">
        <v>114</v>
      </c>
      <c r="L340" s="10">
        <v>4.1481010132459968</v>
      </c>
      <c r="M340" s="10">
        <v>34.258597428869635</v>
      </c>
      <c r="N340" s="10">
        <v>32.094916404494491</v>
      </c>
      <c r="O340" s="10">
        <v>39.774128655197686</v>
      </c>
      <c r="P340" s="10" t="s">
        <v>114</v>
      </c>
      <c r="Q340" s="10">
        <v>35.153941818548354</v>
      </c>
      <c r="R340" s="10" t="s">
        <v>114</v>
      </c>
      <c r="S340" s="10" t="s">
        <v>114</v>
      </c>
      <c r="T340" s="10">
        <v>240.76770215043973</v>
      </c>
      <c r="U340" s="10">
        <v>229.22564646374531</v>
      </c>
      <c r="V340" s="10" t="s">
        <v>114</v>
      </c>
      <c r="W340" s="10" t="s">
        <v>114</v>
      </c>
      <c r="X340" s="10" t="s">
        <v>114</v>
      </c>
      <c r="Y340" s="10">
        <v>55.727508214957581</v>
      </c>
      <c r="Z340" s="10" t="s">
        <v>114</v>
      </c>
      <c r="AA340" s="10" t="s">
        <v>114</v>
      </c>
      <c r="AB340" s="10" t="s">
        <v>114</v>
      </c>
      <c r="AC340" s="10" t="s">
        <v>114</v>
      </c>
      <c r="AD340" s="10" t="s">
        <v>114</v>
      </c>
      <c r="AE340" s="10" t="s">
        <v>114</v>
      </c>
      <c r="AF340" s="10">
        <v>1.5351082268553187E-3</v>
      </c>
      <c r="AG340" s="10">
        <v>2.3501361118728159</v>
      </c>
      <c r="AH340" s="10">
        <v>0.16404894051120172</v>
      </c>
      <c r="AI340" s="10">
        <v>0.31858503078112399</v>
      </c>
      <c r="AJ340" s="10">
        <v>3.199433919605503E-2</v>
      </c>
      <c r="AK340" s="10">
        <v>0.1247919639653032</v>
      </c>
      <c r="AL340" s="10">
        <v>2.8010936439546892E-2</v>
      </c>
      <c r="AM340" s="10">
        <v>1.2072544333378434E-2</v>
      </c>
      <c r="AN340" s="10">
        <v>2.7369415227113936E-2</v>
      </c>
      <c r="AO340" s="10" t="s">
        <v>114</v>
      </c>
      <c r="AP340" s="10">
        <v>3.3393426829893845E-2</v>
      </c>
      <c r="AQ340" s="10" t="s">
        <v>114</v>
      </c>
      <c r="AR340" s="10">
        <v>1.4095950907418777E-2</v>
      </c>
      <c r="AS340" s="10" t="s">
        <v>114</v>
      </c>
      <c r="AT340" s="10">
        <v>1.4762191048590861E-2</v>
      </c>
      <c r="AU340" s="10" t="s">
        <v>114</v>
      </c>
      <c r="AV340" s="10" t="s">
        <v>114</v>
      </c>
      <c r="AW340" s="10">
        <v>23.861410904534491</v>
      </c>
      <c r="AX340" s="10" t="s">
        <v>114</v>
      </c>
      <c r="AY340" s="10" t="s">
        <v>114</v>
      </c>
      <c r="AZ340" s="10">
        <v>14.95963459651405</v>
      </c>
      <c r="BA340" s="10">
        <v>13.490036224793592</v>
      </c>
      <c r="BB340" s="10">
        <v>13.842471592287167</v>
      </c>
      <c r="BC340" s="10" t="s">
        <v>114</v>
      </c>
      <c r="BD340" s="10" t="s">
        <v>114</v>
      </c>
    </row>
    <row r="341" spans="1:56" x14ac:dyDescent="0.3">
      <c r="A341" t="s">
        <v>425</v>
      </c>
      <c r="B341" t="s">
        <v>384</v>
      </c>
      <c r="C341" s="10">
        <v>7299.9972228906445</v>
      </c>
      <c r="D341" s="10">
        <v>2927.6547002356483</v>
      </c>
      <c r="E341" s="10">
        <v>115.31520736693881</v>
      </c>
      <c r="F341" s="10">
        <v>168626.16673294568</v>
      </c>
      <c r="G341" s="10">
        <v>272.04215752203362</v>
      </c>
      <c r="H341" s="10">
        <v>378182.85130447242</v>
      </c>
      <c r="I341" s="10">
        <v>376531.02850960038</v>
      </c>
      <c r="J341" s="10" t="s">
        <v>114</v>
      </c>
      <c r="K341" s="10" t="s">
        <v>114</v>
      </c>
      <c r="L341" s="10">
        <v>1.0417536569583992</v>
      </c>
      <c r="M341" s="10">
        <v>18.902469082181682</v>
      </c>
      <c r="N341" s="10" t="s">
        <v>114</v>
      </c>
      <c r="O341" s="10">
        <v>10.127429169173107</v>
      </c>
      <c r="P341" s="10" t="s">
        <v>114</v>
      </c>
      <c r="Q341" s="10">
        <v>1.3582819751744299</v>
      </c>
      <c r="R341" s="10" t="s">
        <v>114</v>
      </c>
      <c r="S341" s="10" t="s">
        <v>114</v>
      </c>
      <c r="T341" s="10">
        <v>173.44283900409425</v>
      </c>
      <c r="U341" s="10">
        <v>163.27243275040277</v>
      </c>
      <c r="V341" s="10" t="s">
        <v>114</v>
      </c>
      <c r="W341" s="10" t="s">
        <v>114</v>
      </c>
      <c r="X341" s="10" t="s">
        <v>114</v>
      </c>
      <c r="Y341" s="10">
        <v>217.03414972341318</v>
      </c>
      <c r="Z341" s="10" t="s">
        <v>114</v>
      </c>
      <c r="AA341" s="10" t="s">
        <v>114</v>
      </c>
      <c r="AB341" s="10" t="s">
        <v>114</v>
      </c>
      <c r="AC341" s="10" t="s">
        <v>114</v>
      </c>
      <c r="AD341" s="10" t="s">
        <v>114</v>
      </c>
      <c r="AE341" s="10" t="s">
        <v>114</v>
      </c>
      <c r="AF341" s="10">
        <v>6.0079894798278021E-4</v>
      </c>
      <c r="AG341" s="10">
        <v>2.4830205343874412</v>
      </c>
      <c r="AH341" s="10">
        <v>0.10704326200699014</v>
      </c>
      <c r="AI341" s="10">
        <v>0.23119151184033904</v>
      </c>
      <c r="AJ341" s="10">
        <v>2.3358161340367528E-2</v>
      </c>
      <c r="AK341" s="10">
        <v>0.10877297264240623</v>
      </c>
      <c r="AL341" s="10">
        <v>2.3270774012998589E-2</v>
      </c>
      <c r="AM341" s="10" t="s">
        <v>114</v>
      </c>
      <c r="AN341" s="10">
        <v>1.9791310654790183E-2</v>
      </c>
      <c r="AO341" s="10" t="s">
        <v>114</v>
      </c>
      <c r="AP341" s="10">
        <v>2.1494248561192184E-2</v>
      </c>
      <c r="AQ341" s="10" t="s">
        <v>114</v>
      </c>
      <c r="AR341" s="10" t="s">
        <v>114</v>
      </c>
      <c r="AS341" s="10" t="s">
        <v>114</v>
      </c>
      <c r="AT341" s="10" t="s">
        <v>114</v>
      </c>
      <c r="AU341" s="10" t="s">
        <v>114</v>
      </c>
      <c r="AV341" s="10" t="s">
        <v>114</v>
      </c>
      <c r="AW341" s="10">
        <v>21.569952765469839</v>
      </c>
      <c r="AX341" s="10" t="s">
        <v>114</v>
      </c>
      <c r="AY341" s="10" t="s">
        <v>114</v>
      </c>
      <c r="AZ341" s="10">
        <v>1.5691888694619289</v>
      </c>
      <c r="BA341" s="10">
        <v>1.2623106996106943</v>
      </c>
      <c r="BB341" s="10">
        <v>1.4255933771159073</v>
      </c>
      <c r="BC341" s="10" t="s">
        <v>114</v>
      </c>
      <c r="BD341" s="10" t="s">
        <v>114</v>
      </c>
    </row>
    <row r="342" spans="1:56" x14ac:dyDescent="0.3">
      <c r="A342" t="s">
        <v>426</v>
      </c>
      <c r="B342" t="s">
        <v>384</v>
      </c>
      <c r="C342" s="10">
        <v>7619.1262403079181</v>
      </c>
      <c r="D342" s="10">
        <v>3285.404406814228</v>
      </c>
      <c r="E342" s="10">
        <v>73.468568209272675</v>
      </c>
      <c r="F342" s="10">
        <v>165156.22589117315</v>
      </c>
      <c r="G342" s="10">
        <v>293.81303268833375</v>
      </c>
      <c r="H342" s="10">
        <v>376788.41610673943</v>
      </c>
      <c r="I342" s="10">
        <v>375202.41331269947</v>
      </c>
      <c r="J342" s="10" t="s">
        <v>114</v>
      </c>
      <c r="K342" s="10">
        <v>0.20362133976512778</v>
      </c>
      <c r="L342" s="10">
        <v>1.9672501062442564</v>
      </c>
      <c r="M342" s="10">
        <v>19.274036965483717</v>
      </c>
      <c r="N342" s="10">
        <v>32.931673043803741</v>
      </c>
      <c r="O342" s="10">
        <v>38.379945271433556</v>
      </c>
      <c r="P342" s="10" t="s">
        <v>114</v>
      </c>
      <c r="Q342" s="10">
        <v>2.0722909622022048</v>
      </c>
      <c r="R342" s="10" t="s">
        <v>114</v>
      </c>
      <c r="S342" s="10" t="s">
        <v>114</v>
      </c>
      <c r="T342" s="10">
        <v>152.04518583312554</v>
      </c>
      <c r="U342" s="10">
        <v>144.0982453577974</v>
      </c>
      <c r="V342" s="10" t="s">
        <v>114</v>
      </c>
      <c r="W342" s="10">
        <v>10.65718289122057</v>
      </c>
      <c r="X342" s="10" t="s">
        <v>114</v>
      </c>
      <c r="Y342" s="10">
        <v>285.66596810532877</v>
      </c>
      <c r="Z342" s="10" t="s">
        <v>114</v>
      </c>
      <c r="AA342" s="10">
        <v>1.0312637832898008</v>
      </c>
      <c r="AB342" s="10">
        <v>0.96497933680628767</v>
      </c>
      <c r="AC342" s="10" t="s">
        <v>114</v>
      </c>
      <c r="AD342" s="10" t="s">
        <v>114</v>
      </c>
      <c r="AE342" s="10" t="s">
        <v>114</v>
      </c>
      <c r="AF342" s="10">
        <v>4.6706694180931752E-3</v>
      </c>
      <c r="AG342" s="10">
        <v>3.0842531916168467</v>
      </c>
      <c r="AH342" s="10">
        <v>0.14021411802683476</v>
      </c>
      <c r="AI342" s="10">
        <v>0.30613974719750719</v>
      </c>
      <c r="AJ342" s="10">
        <v>2.7935108127772092E-2</v>
      </c>
      <c r="AK342" s="10">
        <v>0.14356162679156759</v>
      </c>
      <c r="AL342" s="10" t="s">
        <v>114</v>
      </c>
      <c r="AM342" s="10" t="s">
        <v>114</v>
      </c>
      <c r="AN342" s="10">
        <v>2.2427053436057106E-2</v>
      </c>
      <c r="AO342" s="10" t="s">
        <v>114</v>
      </c>
      <c r="AP342" s="10">
        <v>2.0567097312926847E-2</v>
      </c>
      <c r="AQ342" s="10" t="s">
        <v>114</v>
      </c>
      <c r="AR342" s="10">
        <v>1.1931233011167346E-2</v>
      </c>
      <c r="AS342" s="10" t="s">
        <v>114</v>
      </c>
      <c r="AT342" s="10" t="s">
        <v>114</v>
      </c>
      <c r="AU342" s="10" t="s">
        <v>114</v>
      </c>
      <c r="AV342" s="10">
        <v>0.44475228477685758</v>
      </c>
      <c r="AW342" s="10">
        <v>21.73713626303481</v>
      </c>
      <c r="AX342" s="10" t="s">
        <v>114</v>
      </c>
      <c r="AY342" s="10" t="s">
        <v>114</v>
      </c>
      <c r="AZ342" s="10" t="s">
        <v>114</v>
      </c>
      <c r="BA342" s="10" t="s">
        <v>114</v>
      </c>
      <c r="BB342" s="10" t="s">
        <v>114</v>
      </c>
      <c r="BC342" s="10">
        <v>0.24660627845987501</v>
      </c>
      <c r="BD342" s="10">
        <v>6.7169738875316576E-2</v>
      </c>
    </row>
    <row r="343" spans="1:56" x14ac:dyDescent="0.3">
      <c r="A343" t="s">
        <v>427</v>
      </c>
      <c r="B343" t="s">
        <v>384</v>
      </c>
      <c r="C343" s="10">
        <v>5792.3979990306807</v>
      </c>
      <c r="D343" s="10">
        <v>3056.4934285623499</v>
      </c>
      <c r="E343" s="10">
        <v>79.495348449143975</v>
      </c>
      <c r="F343" s="10">
        <v>153551.05194833427</v>
      </c>
      <c r="G343" s="10">
        <v>218.24229946634424</v>
      </c>
      <c r="H343" s="10">
        <v>342044.87867934175</v>
      </c>
      <c r="I343" s="10">
        <v>342170.14656463696</v>
      </c>
      <c r="J343" s="10">
        <v>6.4143619124783182</v>
      </c>
      <c r="K343" s="10" t="s">
        <v>114</v>
      </c>
      <c r="L343" s="10">
        <v>1.1840144719057168</v>
      </c>
      <c r="M343" s="10">
        <v>17.303002082176164</v>
      </c>
      <c r="N343" s="10" t="s">
        <v>114</v>
      </c>
      <c r="O343" s="10">
        <v>9.8450289172586007</v>
      </c>
      <c r="P343" s="10" t="s">
        <v>114</v>
      </c>
      <c r="Q343" s="10">
        <v>4.4938907556352152</v>
      </c>
      <c r="R343" s="10">
        <v>4.1275241852605422</v>
      </c>
      <c r="S343" s="10">
        <v>4.2656796496385763</v>
      </c>
      <c r="T343" s="10">
        <v>177.7490045005346</v>
      </c>
      <c r="U343" s="10">
        <v>169.89055439851927</v>
      </c>
      <c r="V343" s="10" t="s">
        <v>114</v>
      </c>
      <c r="W343" s="10" t="s">
        <v>114</v>
      </c>
      <c r="X343" s="10" t="s">
        <v>114</v>
      </c>
      <c r="Y343" s="10">
        <v>91.386588454527867</v>
      </c>
      <c r="Z343" s="10" t="s">
        <v>114</v>
      </c>
      <c r="AA343" s="10">
        <v>0.47293063341727859</v>
      </c>
      <c r="AB343" s="10">
        <v>0.49262016123319219</v>
      </c>
      <c r="AC343" s="10" t="s">
        <v>114</v>
      </c>
      <c r="AD343" s="10" t="s">
        <v>114</v>
      </c>
      <c r="AE343" s="10" t="s">
        <v>114</v>
      </c>
      <c r="AF343" s="10">
        <v>2.4234070282499061E-3</v>
      </c>
      <c r="AG343" s="10">
        <v>1.4991499554205925</v>
      </c>
      <c r="AH343" s="10">
        <v>7.7252316928316939E-2</v>
      </c>
      <c r="AI343" s="10">
        <v>0.19322472462341744</v>
      </c>
      <c r="AJ343" s="10">
        <v>2.4584771071790631E-2</v>
      </c>
      <c r="AK343" s="10">
        <v>8.0048412871355626E-2</v>
      </c>
      <c r="AL343" s="10">
        <v>2.3558837353342212E-2</v>
      </c>
      <c r="AM343" s="10" t="s">
        <v>114</v>
      </c>
      <c r="AN343" s="10">
        <v>8.7814947671452318E-3</v>
      </c>
      <c r="AO343" s="10" t="s">
        <v>114</v>
      </c>
      <c r="AP343" s="10">
        <v>1.9200578323393371E-2</v>
      </c>
      <c r="AQ343" s="10" t="s">
        <v>114</v>
      </c>
      <c r="AR343" s="10" t="s">
        <v>114</v>
      </c>
      <c r="AS343" s="10" t="s">
        <v>114</v>
      </c>
      <c r="AT343" s="10" t="s">
        <v>114</v>
      </c>
      <c r="AU343" s="10" t="s">
        <v>114</v>
      </c>
      <c r="AV343" s="10">
        <v>0.24551148768555905</v>
      </c>
      <c r="AW343" s="10">
        <v>21.893473842129978</v>
      </c>
      <c r="AX343" s="10" t="s">
        <v>114</v>
      </c>
      <c r="AY343" s="10" t="s">
        <v>114</v>
      </c>
      <c r="AZ343" s="10" t="s">
        <v>114</v>
      </c>
      <c r="BA343" s="10" t="s">
        <v>114</v>
      </c>
      <c r="BB343" s="10" t="s">
        <v>114</v>
      </c>
      <c r="BC343" s="10" t="s">
        <v>114</v>
      </c>
      <c r="BD343" s="10" t="s">
        <v>114</v>
      </c>
    </row>
    <row r="344" spans="1:56" x14ac:dyDescent="0.3">
      <c r="A344" t="s">
        <v>428</v>
      </c>
      <c r="B344" t="s">
        <v>384</v>
      </c>
      <c r="C344" s="10">
        <v>6307.9637497582971</v>
      </c>
      <c r="D344" s="10">
        <v>2313.5604314048333</v>
      </c>
      <c r="E344" s="10">
        <v>86.748342337110316</v>
      </c>
      <c r="F344" s="10">
        <v>149721.52559148247</v>
      </c>
      <c r="G344" s="10">
        <v>265.66577729235394</v>
      </c>
      <c r="H344" s="10">
        <v>343377.8889630948</v>
      </c>
      <c r="I344" s="10">
        <v>343063.78429009445</v>
      </c>
      <c r="J344" s="10">
        <v>13.885206018693012</v>
      </c>
      <c r="K344" s="10" t="s">
        <v>114</v>
      </c>
      <c r="L344" s="10">
        <v>1.3000922301603346</v>
      </c>
      <c r="M344" s="10">
        <v>23.113533950868575</v>
      </c>
      <c r="N344" s="10">
        <v>22.564846208474641</v>
      </c>
      <c r="O344" s="10">
        <v>27.598553943447914</v>
      </c>
      <c r="P344" s="10" t="s">
        <v>114</v>
      </c>
      <c r="Q344" s="10">
        <v>33.787966686358054</v>
      </c>
      <c r="R344" s="10" t="s">
        <v>114</v>
      </c>
      <c r="S344" s="10" t="s">
        <v>114</v>
      </c>
      <c r="T344" s="10">
        <v>173.57113561141423</v>
      </c>
      <c r="U344" s="10">
        <v>165.00729511011392</v>
      </c>
      <c r="V344" s="10" t="s">
        <v>114</v>
      </c>
      <c r="W344" s="10" t="s">
        <v>114</v>
      </c>
      <c r="X344" s="10" t="s">
        <v>114</v>
      </c>
      <c r="Y344" s="10">
        <v>270.95122713233542</v>
      </c>
      <c r="Z344" s="10" t="s">
        <v>114</v>
      </c>
      <c r="AA344" s="10">
        <v>0.40305559102687366</v>
      </c>
      <c r="AB344" s="10">
        <v>0.38799965521516305</v>
      </c>
      <c r="AC344" s="10" t="s">
        <v>114</v>
      </c>
      <c r="AD344" s="10" t="s">
        <v>114</v>
      </c>
      <c r="AE344" s="10" t="s">
        <v>114</v>
      </c>
      <c r="AF344" s="10">
        <v>2.6708042812953214E-3</v>
      </c>
      <c r="AG344" s="10">
        <v>4.6477424770791176</v>
      </c>
      <c r="AH344" s="10">
        <v>0.12171693355987626</v>
      </c>
      <c r="AI344" s="10">
        <v>0.28020826955840089</v>
      </c>
      <c r="AJ344" s="10">
        <v>2.5807552027505554E-2</v>
      </c>
      <c r="AK344" s="10">
        <v>0.11211433868340615</v>
      </c>
      <c r="AL344" s="10" t="s">
        <v>114</v>
      </c>
      <c r="AM344" s="10" t="s">
        <v>114</v>
      </c>
      <c r="AN344" s="10">
        <v>2.7937801223337552E-2</v>
      </c>
      <c r="AO344" s="10" t="s">
        <v>114</v>
      </c>
      <c r="AP344" s="10">
        <v>1.9559325224525623E-2</v>
      </c>
      <c r="AQ344" s="10" t="s">
        <v>114</v>
      </c>
      <c r="AR344" s="10">
        <v>1.2659445522461184E-2</v>
      </c>
      <c r="AS344" s="10" t="s">
        <v>114</v>
      </c>
      <c r="AT344" s="10" t="s">
        <v>114</v>
      </c>
      <c r="AU344" s="10" t="s">
        <v>114</v>
      </c>
      <c r="AV344" s="10">
        <v>0.23369140553584619</v>
      </c>
      <c r="AW344" s="10">
        <v>23.851556607192318</v>
      </c>
      <c r="AX344" s="10" t="s">
        <v>114</v>
      </c>
      <c r="AY344" s="10" t="s">
        <v>114</v>
      </c>
      <c r="AZ344" s="10" t="s">
        <v>114</v>
      </c>
      <c r="BA344" s="10" t="s">
        <v>114</v>
      </c>
      <c r="BB344" s="10" t="s">
        <v>114</v>
      </c>
      <c r="BC344" s="10" t="s">
        <v>114</v>
      </c>
      <c r="BD344" s="10">
        <v>0.11616223846911396</v>
      </c>
    </row>
    <row r="345" spans="1:56" x14ac:dyDescent="0.3">
      <c r="A345" t="s">
        <v>429</v>
      </c>
      <c r="B345" t="s">
        <v>384</v>
      </c>
      <c r="C345" s="10">
        <v>8045.4087870789381</v>
      </c>
      <c r="D345" s="10">
        <v>4571.0442473756993</v>
      </c>
      <c r="E345" s="10">
        <v>108.74949794489798</v>
      </c>
      <c r="F345" s="10">
        <v>157863.31773311342</v>
      </c>
      <c r="G345" s="10">
        <v>293.84569675388525</v>
      </c>
      <c r="H345" s="10">
        <v>356112.9258701338</v>
      </c>
      <c r="I345" s="10">
        <v>357336.382526781</v>
      </c>
      <c r="J345" s="10" t="s">
        <v>114</v>
      </c>
      <c r="K345" s="10">
        <v>0.45087033938213816</v>
      </c>
      <c r="L345" s="10">
        <v>2.3766582110950885</v>
      </c>
      <c r="M345" s="10">
        <v>38.102185449494243</v>
      </c>
      <c r="N345" s="10">
        <v>17.836990837818679</v>
      </c>
      <c r="O345" s="10">
        <v>21.351053961493889</v>
      </c>
      <c r="P345" s="10" t="s">
        <v>114</v>
      </c>
      <c r="Q345" s="10">
        <v>2.5929252214813192</v>
      </c>
      <c r="R345" s="10" t="s">
        <v>114</v>
      </c>
      <c r="S345" s="10" t="s">
        <v>114</v>
      </c>
      <c r="T345" s="10">
        <v>129.95333175288386</v>
      </c>
      <c r="U345" s="10">
        <v>123.98727483229905</v>
      </c>
      <c r="V345" s="10" t="s">
        <v>114</v>
      </c>
      <c r="W345" s="10" t="s">
        <v>114</v>
      </c>
      <c r="X345" s="10" t="s">
        <v>114</v>
      </c>
      <c r="Y345" s="10">
        <v>372.23376611522156</v>
      </c>
      <c r="Z345" s="10" t="s">
        <v>114</v>
      </c>
      <c r="AA345" s="10">
        <v>0.35397018001335057</v>
      </c>
      <c r="AB345" s="10">
        <v>0.3707735183977689</v>
      </c>
      <c r="AC345" s="10" t="s">
        <v>114</v>
      </c>
      <c r="AD345" s="10" t="s">
        <v>114</v>
      </c>
      <c r="AE345" s="10" t="s">
        <v>114</v>
      </c>
      <c r="AF345" s="10">
        <v>1.6367746678677356E-3</v>
      </c>
      <c r="AG345" s="10">
        <v>5.5720682250890059</v>
      </c>
      <c r="AH345" s="10">
        <v>0.17024041619433095</v>
      </c>
      <c r="AI345" s="10">
        <v>0.30042424402067103</v>
      </c>
      <c r="AJ345" s="10">
        <v>3.7161342206200598E-2</v>
      </c>
      <c r="AK345" s="10">
        <v>0.16593203850909716</v>
      </c>
      <c r="AL345" s="10">
        <v>2.756294936978803E-2</v>
      </c>
      <c r="AM345" s="10">
        <v>9.927743927908482E-3</v>
      </c>
      <c r="AN345" s="10">
        <v>3.1084205144349702E-2</v>
      </c>
      <c r="AO345" s="10" t="s">
        <v>114</v>
      </c>
      <c r="AP345" s="10">
        <v>3.373449326607663E-2</v>
      </c>
      <c r="AQ345" s="10" t="s">
        <v>114</v>
      </c>
      <c r="AR345" s="10">
        <v>1.9552580068107756E-2</v>
      </c>
      <c r="AS345" s="10">
        <v>2.9387352005351038E-3</v>
      </c>
      <c r="AT345" s="10">
        <v>1.9234325405183203E-2</v>
      </c>
      <c r="AU345" s="10">
        <v>3.5052215669794757E-3</v>
      </c>
      <c r="AV345" s="10">
        <v>0.25343800869663058</v>
      </c>
      <c r="AW345" s="10">
        <v>21.881052157893293</v>
      </c>
      <c r="AX345" s="10" t="s">
        <v>114</v>
      </c>
      <c r="AY345" s="10" t="s">
        <v>114</v>
      </c>
      <c r="AZ345" s="10" t="s">
        <v>114</v>
      </c>
      <c r="BA345" s="10" t="s">
        <v>114</v>
      </c>
      <c r="BB345" s="10" t="s">
        <v>114</v>
      </c>
      <c r="BC345" s="10" t="s">
        <v>114</v>
      </c>
      <c r="BD345" s="10">
        <v>0.24432923433912621</v>
      </c>
    </row>
    <row r="346" spans="1:56" x14ac:dyDescent="0.3">
      <c r="A346" t="s">
        <v>430</v>
      </c>
      <c r="B346" t="s">
        <v>384</v>
      </c>
      <c r="C346" s="10">
        <v>5358.1409972571764</v>
      </c>
      <c r="D346" s="10">
        <v>3314.1800842487983</v>
      </c>
      <c r="E346" s="10">
        <v>93.277527783232586</v>
      </c>
      <c r="F346" s="10">
        <v>152123.59960401247</v>
      </c>
      <c r="G346" s="10">
        <v>201.57306590359249</v>
      </c>
      <c r="H346" s="10">
        <v>345355.86768804147</v>
      </c>
      <c r="I346" s="10">
        <v>345116.30115768459</v>
      </c>
      <c r="J346" s="10" t="s">
        <v>114</v>
      </c>
      <c r="K346" s="10" t="s">
        <v>114</v>
      </c>
      <c r="L346" s="10">
        <v>1.625842644468622</v>
      </c>
      <c r="M346" s="10">
        <v>39.237262393790189</v>
      </c>
      <c r="N346" s="10">
        <v>41.983110234644563</v>
      </c>
      <c r="O346" s="10">
        <v>42.315561823492033</v>
      </c>
      <c r="P346" s="10" t="s">
        <v>114</v>
      </c>
      <c r="Q346" s="10">
        <v>14.797130157485482</v>
      </c>
      <c r="R346" s="10" t="s">
        <v>114</v>
      </c>
      <c r="S346" s="10" t="s">
        <v>114</v>
      </c>
      <c r="T346" s="10">
        <v>297.42402696818499</v>
      </c>
      <c r="U346" s="10">
        <v>286.70732101997874</v>
      </c>
      <c r="V346" s="10" t="s">
        <v>114</v>
      </c>
      <c r="W346" s="10" t="s">
        <v>114</v>
      </c>
      <c r="X346" s="10" t="s">
        <v>114</v>
      </c>
      <c r="Y346" s="10">
        <v>277.91669700820086</v>
      </c>
      <c r="Z346" s="10" t="s">
        <v>114</v>
      </c>
      <c r="AA346" s="10">
        <v>0.36394464771652729</v>
      </c>
      <c r="AB346" s="10" t="s">
        <v>114</v>
      </c>
      <c r="AC346" s="10" t="s">
        <v>114</v>
      </c>
      <c r="AD346" s="10" t="s">
        <v>114</v>
      </c>
      <c r="AE346" s="10" t="s">
        <v>114</v>
      </c>
      <c r="AF346" s="10">
        <v>2.2538311073260994E-3</v>
      </c>
      <c r="AG346" s="10">
        <v>4.6706422750491434</v>
      </c>
      <c r="AH346" s="10">
        <v>0.32340810118388114</v>
      </c>
      <c r="AI346" s="10">
        <v>0.83691404699267447</v>
      </c>
      <c r="AJ346" s="10">
        <v>8.0851972932145966E-2</v>
      </c>
      <c r="AK346" s="10">
        <v>0.347677606751502</v>
      </c>
      <c r="AL346" s="10">
        <v>5.3156237617046444E-2</v>
      </c>
      <c r="AM346" s="10">
        <v>2.0751096905509685E-2</v>
      </c>
      <c r="AN346" s="10">
        <v>7.4615353782636812E-2</v>
      </c>
      <c r="AO346" s="10" t="s">
        <v>114</v>
      </c>
      <c r="AP346" s="10">
        <v>7.3450472810569684E-2</v>
      </c>
      <c r="AQ346" s="10" t="s">
        <v>114</v>
      </c>
      <c r="AR346" s="10">
        <v>2.7868163866746877E-2</v>
      </c>
      <c r="AS346" s="10" t="s">
        <v>114</v>
      </c>
      <c r="AT346" s="10">
        <v>2.5553599363703921E-2</v>
      </c>
      <c r="AU346" s="10">
        <v>3.418277683551697E-3</v>
      </c>
      <c r="AV346" s="10">
        <v>0.12067806211159252</v>
      </c>
      <c r="AW346" s="10">
        <v>23.792242889643887</v>
      </c>
      <c r="AX346" s="10" t="s">
        <v>114</v>
      </c>
      <c r="AY346" s="10" t="s">
        <v>114</v>
      </c>
      <c r="AZ346" s="10" t="s">
        <v>114</v>
      </c>
      <c r="BA346" s="10" t="s">
        <v>114</v>
      </c>
      <c r="BB346" s="10" t="s">
        <v>114</v>
      </c>
      <c r="BC346" s="10" t="s">
        <v>114</v>
      </c>
      <c r="BD346" s="10" t="s">
        <v>114</v>
      </c>
    </row>
    <row r="347" spans="1:56" x14ac:dyDescent="0.3">
      <c r="A347" t="s">
        <v>431</v>
      </c>
      <c r="B347" t="s">
        <v>432</v>
      </c>
      <c r="C347" s="10">
        <v>5747.5803159361631</v>
      </c>
      <c r="D347" s="10">
        <v>1087.3018941027799</v>
      </c>
      <c r="E347" s="10">
        <v>109.95959468224609</v>
      </c>
      <c r="F347" s="10">
        <v>126018.76725164514</v>
      </c>
      <c r="G347" s="10" t="s">
        <v>114</v>
      </c>
      <c r="H347" s="10">
        <v>319825.66427962662</v>
      </c>
      <c r="I347" s="10">
        <v>327238.37298902875</v>
      </c>
      <c r="J347" s="10" t="s">
        <v>114</v>
      </c>
      <c r="K347" s="10">
        <v>5.1551938073419343</v>
      </c>
      <c r="L347" s="10">
        <v>4.4208275536929458</v>
      </c>
      <c r="M347" s="10">
        <v>693.35515438329901</v>
      </c>
      <c r="N347" s="10">
        <v>1054.4597089418874</v>
      </c>
      <c r="O347" s="10">
        <v>1083.8718101941795</v>
      </c>
      <c r="P347" s="10">
        <v>1.3817382858097016</v>
      </c>
      <c r="Q347" s="10">
        <v>9.1759201256811931</v>
      </c>
      <c r="R347" s="10">
        <v>149.03419306043585</v>
      </c>
      <c r="S347" s="10">
        <v>150.94068668909691</v>
      </c>
      <c r="T347" s="10">
        <v>114.23868801197249</v>
      </c>
      <c r="U347" s="10">
        <v>112.47059943502569</v>
      </c>
      <c r="V347" s="10">
        <v>15.932245500442546</v>
      </c>
      <c r="W347" s="10" t="s">
        <v>114</v>
      </c>
      <c r="X347" s="10" t="s">
        <v>114</v>
      </c>
      <c r="Y347" s="10">
        <v>1138.5217197455565</v>
      </c>
      <c r="Z347" s="10">
        <v>5.4959908976847762</v>
      </c>
      <c r="AA347" s="10">
        <v>1.7436424284282104</v>
      </c>
      <c r="AB347" s="10">
        <v>1.7076300888143745</v>
      </c>
      <c r="AC347" s="10" t="s">
        <v>114</v>
      </c>
      <c r="AD347" s="10" t="s">
        <v>114</v>
      </c>
      <c r="AE347" s="10">
        <v>0.70924647935117568</v>
      </c>
      <c r="AF347" s="10">
        <v>2.1219427396571284E-3</v>
      </c>
      <c r="AG347" s="10">
        <v>108.88893483001517</v>
      </c>
      <c r="AH347" s="10">
        <v>0.19236807903088385</v>
      </c>
      <c r="AI347" s="10">
        <v>0.28770692319157842</v>
      </c>
      <c r="AJ347" s="10">
        <v>2.7025239061755826E-2</v>
      </c>
      <c r="AK347" s="10">
        <v>9.8404901568364456E-2</v>
      </c>
      <c r="AL347" s="10">
        <v>2.7524776183388552E-2</v>
      </c>
      <c r="AM347" s="10" t="s">
        <v>114</v>
      </c>
      <c r="AN347" s="10">
        <v>4.8817370664044603E-2</v>
      </c>
      <c r="AO347" s="10" t="s">
        <v>114</v>
      </c>
      <c r="AP347" s="10">
        <v>7.8454592532931855E-2</v>
      </c>
      <c r="AQ347" s="10" t="s">
        <v>114</v>
      </c>
      <c r="AR347" s="10">
        <v>7.5652958411669594E-2</v>
      </c>
      <c r="AS347" s="10">
        <v>1.3478445742361497E-2</v>
      </c>
      <c r="AT347" s="10">
        <v>0.1008099614130873</v>
      </c>
      <c r="AU347" s="10">
        <v>1.9831887878833353E-2</v>
      </c>
      <c r="AV347" s="10">
        <v>1.5586813234545487</v>
      </c>
      <c r="AW347" s="10">
        <v>21.682426773221771</v>
      </c>
      <c r="AX347" s="10" t="s">
        <v>114</v>
      </c>
      <c r="AY347" s="10" t="s">
        <v>114</v>
      </c>
      <c r="AZ347" s="10">
        <v>89.420183189653869</v>
      </c>
      <c r="BA347" s="10">
        <v>80.932606258503483</v>
      </c>
      <c r="BB347" s="10">
        <v>83.152475082640592</v>
      </c>
      <c r="BC347" s="10" t="s">
        <v>114</v>
      </c>
      <c r="BD347" s="10">
        <v>30.150859066087627</v>
      </c>
    </row>
    <row r="348" spans="1:56" x14ac:dyDescent="0.3">
      <c r="A348" t="s">
        <v>433</v>
      </c>
      <c r="B348" t="s">
        <v>432</v>
      </c>
      <c r="C348" s="10">
        <v>5535.569367072012</v>
      </c>
      <c r="D348" s="10">
        <v>2356.7913860749936</v>
      </c>
      <c r="E348" s="10">
        <v>194.12049584562536</v>
      </c>
      <c r="F348" s="10">
        <v>161523.62047770349</v>
      </c>
      <c r="G348" s="10" t="s">
        <v>114</v>
      </c>
      <c r="H348" s="10">
        <v>405710.70726519125</v>
      </c>
      <c r="I348" s="10">
        <v>413757.15157028113</v>
      </c>
      <c r="J348" s="10" t="s">
        <v>114</v>
      </c>
      <c r="K348" s="10">
        <v>33.282431807858323</v>
      </c>
      <c r="L348" s="10">
        <v>8.379714513595248</v>
      </c>
      <c r="M348" s="10">
        <v>895.89159146724751</v>
      </c>
      <c r="N348" s="10">
        <v>5548.2988754295502</v>
      </c>
      <c r="O348" s="10">
        <v>5578.5004404244855</v>
      </c>
      <c r="P348" s="10">
        <v>4.1379124360721073</v>
      </c>
      <c r="Q348" s="10">
        <v>18.214287160323149</v>
      </c>
      <c r="R348" s="10">
        <v>16.155760495504992</v>
      </c>
      <c r="S348" s="10">
        <v>15.630634546886721</v>
      </c>
      <c r="T348" s="10">
        <v>104.23014378672711</v>
      </c>
      <c r="U348" s="10">
        <v>110.00913275221002</v>
      </c>
      <c r="V348" s="10">
        <v>26.663313866817923</v>
      </c>
      <c r="W348" s="10" t="s">
        <v>114</v>
      </c>
      <c r="X348" s="10" t="s">
        <v>114</v>
      </c>
      <c r="Y348" s="10">
        <v>1444.2888857571641</v>
      </c>
      <c r="Z348" s="10">
        <v>3.4286568292209867</v>
      </c>
      <c r="AA348" s="10">
        <v>2.3983762875841674</v>
      </c>
      <c r="AB348" s="10">
        <v>2.2760450426355709</v>
      </c>
      <c r="AC348" s="10" t="s">
        <v>114</v>
      </c>
      <c r="AD348" s="10" t="s">
        <v>114</v>
      </c>
      <c r="AE348" s="10">
        <v>1.5481060721939803</v>
      </c>
      <c r="AF348" s="10">
        <v>2.4442118758133949E-3</v>
      </c>
      <c r="AG348" s="10">
        <v>186.42180058895443</v>
      </c>
      <c r="AH348" s="10">
        <v>7.9025934257804992E-2</v>
      </c>
      <c r="AI348" s="10">
        <v>0.14459011902264415</v>
      </c>
      <c r="AJ348" s="10">
        <v>1.1591645948207923E-2</v>
      </c>
      <c r="AK348" s="10">
        <v>5.2537581198232992E-2</v>
      </c>
      <c r="AL348" s="10" t="s">
        <v>114</v>
      </c>
      <c r="AM348" s="10" t="s">
        <v>114</v>
      </c>
      <c r="AN348" s="10">
        <v>1.0078601855924928E-2</v>
      </c>
      <c r="AO348" s="10" t="s">
        <v>114</v>
      </c>
      <c r="AP348" s="10">
        <v>2.7966022562977318E-2</v>
      </c>
      <c r="AQ348" s="10" t="s">
        <v>114</v>
      </c>
      <c r="AR348" s="10">
        <v>2.7194419698078679E-2</v>
      </c>
      <c r="AS348" s="10">
        <v>3.3060768617034914E-3</v>
      </c>
      <c r="AT348" s="10">
        <v>3.6186443939051606E-2</v>
      </c>
      <c r="AU348" s="10">
        <v>5.7731290347340031E-3</v>
      </c>
      <c r="AV348" s="10">
        <v>0.99176194668742357</v>
      </c>
      <c r="AW348" s="10">
        <v>22.443860278956649</v>
      </c>
      <c r="AX348" s="10" t="s">
        <v>114</v>
      </c>
      <c r="AY348" s="10" t="s">
        <v>114</v>
      </c>
      <c r="AZ348" s="10">
        <v>15.63667410214914</v>
      </c>
      <c r="BA348" s="10">
        <v>13.990148345122456</v>
      </c>
      <c r="BB348" s="10">
        <v>14.52079152759784</v>
      </c>
      <c r="BC348" s="10" t="s">
        <v>114</v>
      </c>
      <c r="BD348" s="10">
        <v>43.362080974489501</v>
      </c>
    </row>
    <row r="349" spans="1:56" x14ac:dyDescent="0.3">
      <c r="A349" t="s">
        <v>434</v>
      </c>
      <c r="B349" t="s">
        <v>432</v>
      </c>
      <c r="C349" s="10">
        <v>5876.5038146685993</v>
      </c>
      <c r="D349" s="10">
        <v>3529.2671719465975</v>
      </c>
      <c r="E349" s="10">
        <v>277.36783070526388</v>
      </c>
      <c r="F349" s="10">
        <v>124909.57765291131</v>
      </c>
      <c r="G349" s="10">
        <v>161.63255336822255</v>
      </c>
      <c r="H349" s="10">
        <v>325901.014157572</v>
      </c>
      <c r="I349" s="10">
        <v>338623.30632017768</v>
      </c>
      <c r="J349" s="10" t="s">
        <v>114</v>
      </c>
      <c r="K349" s="10">
        <v>11.324704668945149</v>
      </c>
      <c r="L349" s="10">
        <v>18.698717062454097</v>
      </c>
      <c r="M349" s="10">
        <v>652.83689506987378</v>
      </c>
      <c r="N349" s="10">
        <v>613.81911584013483</v>
      </c>
      <c r="O349" s="10">
        <v>623.88612826421695</v>
      </c>
      <c r="P349" s="10">
        <v>2.1480458625323129</v>
      </c>
      <c r="Q349" s="10">
        <v>10.410628812298853</v>
      </c>
      <c r="R349" s="10">
        <v>20.70999019799256</v>
      </c>
      <c r="S349" s="10">
        <v>20.540363921685113</v>
      </c>
      <c r="T349" s="10">
        <v>69.828785639206586</v>
      </c>
      <c r="U349" s="10">
        <v>72.436168323008587</v>
      </c>
      <c r="V349" s="10">
        <v>9.5758597697097887</v>
      </c>
      <c r="W349" s="10" t="s">
        <v>114</v>
      </c>
      <c r="X349" s="10">
        <v>0.1723786290771688</v>
      </c>
      <c r="Y349" s="10">
        <v>2100.0602997887454</v>
      </c>
      <c r="Z349" s="10">
        <v>4.4634237159688315</v>
      </c>
      <c r="AA349" s="10">
        <v>0.57324237781582144</v>
      </c>
      <c r="AB349" s="10">
        <v>0.58506897954318293</v>
      </c>
      <c r="AC349" s="10" t="s">
        <v>114</v>
      </c>
      <c r="AD349" s="10" t="s">
        <v>114</v>
      </c>
      <c r="AE349" s="10">
        <v>1.2123930316973774</v>
      </c>
      <c r="AF349" s="10">
        <v>6.4201694706721539E-3</v>
      </c>
      <c r="AG349" s="10">
        <v>102.05398408033649</v>
      </c>
      <c r="AH349" s="10">
        <v>0.20202813178762308</v>
      </c>
      <c r="AI349" s="10">
        <v>0.45833044953474211</v>
      </c>
      <c r="AJ349" s="10">
        <v>3.4895130736663969E-2</v>
      </c>
      <c r="AK349" s="10">
        <v>0.14295711605228448</v>
      </c>
      <c r="AL349" s="10" t="s">
        <v>114</v>
      </c>
      <c r="AM349" s="10">
        <v>1.1828272456347095E-2</v>
      </c>
      <c r="AN349" s="10">
        <v>3.4027314224619749E-2</v>
      </c>
      <c r="AO349" s="10" t="s">
        <v>114</v>
      </c>
      <c r="AP349" s="10">
        <v>4.4961218514325857E-2</v>
      </c>
      <c r="AQ349" s="10" t="s">
        <v>114</v>
      </c>
      <c r="AR349" s="10">
        <v>2.7818115601075367E-2</v>
      </c>
      <c r="AS349" s="10">
        <v>4.758820202990407E-3</v>
      </c>
      <c r="AT349" s="10">
        <v>3.6539385229906282E-2</v>
      </c>
      <c r="AU349" s="10">
        <v>6.7594676781472145E-3</v>
      </c>
      <c r="AV349" s="10">
        <v>1.1172224276817968</v>
      </c>
      <c r="AW349" s="10">
        <v>22.006797797197184</v>
      </c>
      <c r="AX349" s="10" t="s">
        <v>114</v>
      </c>
      <c r="AY349" s="10" t="s">
        <v>114</v>
      </c>
      <c r="AZ349" s="10">
        <v>42.330153040795537</v>
      </c>
      <c r="BA349" s="10">
        <v>37.687373596727355</v>
      </c>
      <c r="BB349" s="10">
        <v>39.171525629810134</v>
      </c>
      <c r="BC349" s="10" t="s">
        <v>114</v>
      </c>
      <c r="BD349" s="10">
        <v>26.621694580841286</v>
      </c>
    </row>
    <row r="350" spans="1:56" x14ac:dyDescent="0.3">
      <c r="A350" t="s">
        <v>435</v>
      </c>
      <c r="B350" t="s">
        <v>432</v>
      </c>
      <c r="C350" s="10">
        <v>6069.4587703715779</v>
      </c>
      <c r="D350" s="10">
        <v>2034.710729353151</v>
      </c>
      <c r="E350" s="10">
        <v>277.71438039802183</v>
      </c>
      <c r="F350" s="10">
        <v>167046.09633510376</v>
      </c>
      <c r="G350" s="10">
        <v>189.97114520167159</v>
      </c>
      <c r="H350" s="10">
        <v>414271.16640626889</v>
      </c>
      <c r="I350" s="10">
        <v>425915.71737358667</v>
      </c>
      <c r="J350" s="10">
        <v>12.674393266690862</v>
      </c>
      <c r="K350" s="10">
        <v>13.471070357047502</v>
      </c>
      <c r="L350" s="10">
        <v>12.82841550523394</v>
      </c>
      <c r="M350" s="10">
        <v>408.57199383379725</v>
      </c>
      <c r="N350" s="10">
        <v>517.64732181944146</v>
      </c>
      <c r="O350" s="10">
        <v>526.91551753752037</v>
      </c>
      <c r="P350" s="10">
        <v>0.49323720601485349</v>
      </c>
      <c r="Q350" s="10">
        <v>11.263123116642934</v>
      </c>
      <c r="R350" s="10">
        <v>29.758821480151617</v>
      </c>
      <c r="S350" s="10">
        <v>29.590161710081343</v>
      </c>
      <c r="T350" s="10">
        <v>129.9281620176092</v>
      </c>
      <c r="U350" s="10">
        <v>132.03886809360984</v>
      </c>
      <c r="V350" s="10">
        <v>24.756193490149649</v>
      </c>
      <c r="W350" s="10" t="s">
        <v>114</v>
      </c>
      <c r="X350" s="10">
        <v>0.39610816698111589</v>
      </c>
      <c r="Y350" s="10">
        <v>1960.9115601435401</v>
      </c>
      <c r="Z350" s="10">
        <v>7.2973398683222452</v>
      </c>
      <c r="AA350" s="10">
        <v>0.64002496839643641</v>
      </c>
      <c r="AB350" s="10">
        <v>0.48493516227101241</v>
      </c>
      <c r="AC350" s="10" t="s">
        <v>114</v>
      </c>
      <c r="AD350" s="10" t="s">
        <v>114</v>
      </c>
      <c r="AE350" s="10">
        <v>1.041249603353551</v>
      </c>
      <c r="AF350" s="10">
        <v>7.1574450505569581E-3</v>
      </c>
      <c r="AG350" s="10">
        <v>143.59521634276047</v>
      </c>
      <c r="AH350" s="10">
        <v>0.4659818914844075</v>
      </c>
      <c r="AI350" s="10">
        <v>1.0785906925278994</v>
      </c>
      <c r="AJ350" s="10">
        <v>7.5773493946816567E-2</v>
      </c>
      <c r="AK350" s="10">
        <v>0.32553754571546739</v>
      </c>
      <c r="AL350" s="10">
        <v>7.7810319667332567E-2</v>
      </c>
      <c r="AM350" s="10">
        <v>1.6188282395409138E-2</v>
      </c>
      <c r="AN350" s="10">
        <v>0.11359130071826389</v>
      </c>
      <c r="AO350" s="10" t="s">
        <v>114</v>
      </c>
      <c r="AP350" s="10">
        <v>0.12316809459495102</v>
      </c>
      <c r="AQ350" s="10" t="s">
        <v>114</v>
      </c>
      <c r="AR350" s="10">
        <v>0.13941997017442173</v>
      </c>
      <c r="AS350" s="10">
        <v>2.3928403478114459E-2</v>
      </c>
      <c r="AT350" s="10">
        <v>0.18646009929362437</v>
      </c>
      <c r="AU350" s="10">
        <v>3.4219490162043932E-2</v>
      </c>
      <c r="AV350" s="10">
        <v>0.94830743490590474</v>
      </c>
      <c r="AW350" s="10">
        <v>23.379671887352</v>
      </c>
      <c r="AX350" s="10" t="s">
        <v>114</v>
      </c>
      <c r="AY350" s="10" t="s">
        <v>114</v>
      </c>
      <c r="AZ350" s="10">
        <v>52.420900459717728</v>
      </c>
      <c r="BA350" s="10">
        <v>47.125578312346278</v>
      </c>
      <c r="BB350" s="10">
        <v>48.556578366090044</v>
      </c>
      <c r="BC350" s="10" t="s">
        <v>114</v>
      </c>
      <c r="BD350" s="10">
        <v>62.202062745153455</v>
      </c>
    </row>
    <row r="351" spans="1:56" x14ac:dyDescent="0.3">
      <c r="A351" t="s">
        <v>436</v>
      </c>
      <c r="B351" t="s">
        <v>432</v>
      </c>
      <c r="C351" s="10">
        <v>5558.4990389274453</v>
      </c>
      <c r="D351" s="10">
        <v>1732.8402259779011</v>
      </c>
      <c r="E351" s="10">
        <v>226.00263225368531</v>
      </c>
      <c r="F351" s="10">
        <v>157876.59192748583</v>
      </c>
      <c r="G351" s="10" t="s">
        <v>114</v>
      </c>
      <c r="H351" s="10">
        <v>402808.35903721402</v>
      </c>
      <c r="I351" s="10">
        <v>414579.04895674152</v>
      </c>
      <c r="J351" s="10" t="s">
        <v>114</v>
      </c>
      <c r="K351" s="10">
        <v>33.577750943778071</v>
      </c>
      <c r="L351" s="10">
        <v>13.70980625351093</v>
      </c>
      <c r="M351" s="10">
        <v>293.52083758549776</v>
      </c>
      <c r="N351" s="10">
        <v>2033.6894916246902</v>
      </c>
      <c r="O351" s="10">
        <v>2015.790799120259</v>
      </c>
      <c r="P351" s="10">
        <v>0.79448337978653005</v>
      </c>
      <c r="Q351" s="10">
        <v>6.0161038626246457</v>
      </c>
      <c r="R351" s="10">
        <v>12.356505540103857</v>
      </c>
      <c r="S351" s="10">
        <v>12.396763175056346</v>
      </c>
      <c r="T351" s="10">
        <v>117.83395381818619</v>
      </c>
      <c r="U351" s="10">
        <v>117.92778509771389</v>
      </c>
      <c r="V351" s="10">
        <v>16.371941320530649</v>
      </c>
      <c r="W351" s="10" t="s">
        <v>114</v>
      </c>
      <c r="X351" s="10" t="s">
        <v>114</v>
      </c>
      <c r="Y351" s="10">
        <v>1468.9161222176745</v>
      </c>
      <c r="Z351" s="10">
        <v>6.8897632071403878</v>
      </c>
      <c r="AA351" s="10">
        <v>1.7634841309364697</v>
      </c>
      <c r="AB351" s="10">
        <v>1.7046055957494253</v>
      </c>
      <c r="AC351" s="10" t="s">
        <v>114</v>
      </c>
      <c r="AD351" s="10" t="s">
        <v>114</v>
      </c>
      <c r="AE351" s="10">
        <v>0.84762031617078315</v>
      </c>
      <c r="AF351" s="10">
        <v>5.5950389465372168E-3</v>
      </c>
      <c r="AG351" s="10">
        <v>99.599977409332681</v>
      </c>
      <c r="AH351" s="10">
        <v>0.52729578217373629</v>
      </c>
      <c r="AI351" s="10">
        <v>0.79001499397879582</v>
      </c>
      <c r="AJ351" s="10">
        <v>7.7654423054446656E-2</v>
      </c>
      <c r="AK351" s="10">
        <v>0.30536467515918647</v>
      </c>
      <c r="AL351" s="10">
        <v>5.154911459565726E-2</v>
      </c>
      <c r="AM351" s="10">
        <v>1.1704216965801276E-2</v>
      </c>
      <c r="AN351" s="10">
        <v>9.7402195369950317E-2</v>
      </c>
      <c r="AO351" s="10" t="s">
        <v>114</v>
      </c>
      <c r="AP351" s="10">
        <v>0.12848509558531107</v>
      </c>
      <c r="AQ351" s="10" t="s">
        <v>114</v>
      </c>
      <c r="AR351" s="10">
        <v>0.10789595747814257</v>
      </c>
      <c r="AS351" s="10">
        <v>1.5647696360244972E-2</v>
      </c>
      <c r="AT351" s="10">
        <v>0.11940892737510546</v>
      </c>
      <c r="AU351" s="10">
        <v>2.4050021664931146E-2</v>
      </c>
      <c r="AV351" s="10">
        <v>2.3015330247795189</v>
      </c>
      <c r="AW351" s="10">
        <v>23.770275036768165</v>
      </c>
      <c r="AX351" s="10" t="s">
        <v>114</v>
      </c>
      <c r="AY351" s="10" t="s">
        <v>114</v>
      </c>
      <c r="AZ351" s="10">
        <v>9.2186202193931894</v>
      </c>
      <c r="BA351" s="10">
        <v>8.2918080357116324</v>
      </c>
      <c r="BB351" s="10">
        <v>8.5912347251727681</v>
      </c>
      <c r="BC351" s="10">
        <v>0.52587224447470493</v>
      </c>
      <c r="BD351" s="10">
        <v>29.1729236512728</v>
      </c>
    </row>
    <row r="352" spans="1:56" x14ac:dyDescent="0.3">
      <c r="A352" t="s">
        <v>437</v>
      </c>
      <c r="B352" t="s">
        <v>432</v>
      </c>
      <c r="C352" s="10">
        <v>5854.8823943939224</v>
      </c>
      <c r="D352" s="10">
        <v>1865.7699164399901</v>
      </c>
      <c r="E352" s="10">
        <v>314.03860913793397</v>
      </c>
      <c r="F352" s="10">
        <v>164813.10112954516</v>
      </c>
      <c r="G352" s="10">
        <v>133.45038880338498</v>
      </c>
      <c r="H352" s="10">
        <v>398883.34761054273</v>
      </c>
      <c r="I352" s="10">
        <v>406079.34825129557</v>
      </c>
      <c r="J352" s="10">
        <v>4.4421133143433522</v>
      </c>
      <c r="K352" s="10">
        <v>10.831683896544098</v>
      </c>
      <c r="L352" s="10">
        <v>7.9535579237799512</v>
      </c>
      <c r="M352" s="10">
        <v>485.44761909664095</v>
      </c>
      <c r="N352" s="10">
        <v>2391.1914382484556</v>
      </c>
      <c r="O352" s="10">
        <v>2389.4942971027449</v>
      </c>
      <c r="P352" s="10">
        <v>2.8562631164540049</v>
      </c>
      <c r="Q352" s="10">
        <v>8.9403707404963999</v>
      </c>
      <c r="R352" s="10">
        <v>13.865196355085834</v>
      </c>
      <c r="S352" s="10">
        <v>14.124303883784139</v>
      </c>
      <c r="T352" s="10">
        <v>114.4478740866286</v>
      </c>
      <c r="U352" s="10">
        <v>119.91085264327583</v>
      </c>
      <c r="V352" s="10">
        <v>23.326489584219271</v>
      </c>
      <c r="W352" s="10" t="s">
        <v>114</v>
      </c>
      <c r="X352" s="10">
        <v>0.22665897883380626</v>
      </c>
      <c r="Y352" s="10">
        <v>1348.6181473995296</v>
      </c>
      <c r="Z352" s="10">
        <v>3.0458992563965661</v>
      </c>
      <c r="AA352" s="10">
        <v>1.677021075598367</v>
      </c>
      <c r="AB352" s="10">
        <v>1.6410771520564236</v>
      </c>
      <c r="AC352" s="10" t="s">
        <v>114</v>
      </c>
      <c r="AD352" s="10" t="s">
        <v>114</v>
      </c>
      <c r="AE352" s="10">
        <v>0.67528792577254626</v>
      </c>
      <c r="AF352" s="10">
        <v>5.7649279624885077E-3</v>
      </c>
      <c r="AG352" s="10">
        <v>211.15412131109559</v>
      </c>
      <c r="AH352" s="10">
        <v>0.12860673024404154</v>
      </c>
      <c r="AI352" s="10">
        <v>0.24442023967909163</v>
      </c>
      <c r="AJ352" s="10">
        <v>2.3084707350185842E-2</v>
      </c>
      <c r="AK352" s="10">
        <v>9.583653235180184E-2</v>
      </c>
      <c r="AL352" s="10" t="s">
        <v>114</v>
      </c>
      <c r="AM352" s="10" t="s">
        <v>114</v>
      </c>
      <c r="AN352" s="10">
        <v>2.7627149324785622E-2</v>
      </c>
      <c r="AO352" s="10" t="s">
        <v>114</v>
      </c>
      <c r="AP352" s="10">
        <v>2.3790638726082686E-2</v>
      </c>
      <c r="AQ352" s="10" t="s">
        <v>114</v>
      </c>
      <c r="AR352" s="10">
        <v>2.7337522021589972E-2</v>
      </c>
      <c r="AS352" s="10">
        <v>3.3784825935305653E-3</v>
      </c>
      <c r="AT352" s="10">
        <v>2.9616228036582461E-2</v>
      </c>
      <c r="AU352" s="10">
        <v>4.4823763316120431E-3</v>
      </c>
      <c r="AV352" s="10">
        <v>0.92349887064954372</v>
      </c>
      <c r="AW352" s="10">
        <v>22.31280381888255</v>
      </c>
      <c r="AX352" s="10" t="s">
        <v>114</v>
      </c>
      <c r="AY352" s="10" t="s">
        <v>114</v>
      </c>
      <c r="AZ352" s="10">
        <v>10.971864042398234</v>
      </c>
      <c r="BA352" s="10">
        <v>9.9078995291485725</v>
      </c>
      <c r="BB352" s="10">
        <v>10.171586126069773</v>
      </c>
      <c r="BC352" s="10" t="s">
        <v>114</v>
      </c>
      <c r="BD352" s="10">
        <v>25.992899101749728</v>
      </c>
    </row>
    <row r="353" spans="1:56" x14ac:dyDescent="0.3">
      <c r="A353" t="s">
        <v>438</v>
      </c>
      <c r="B353" t="s">
        <v>432</v>
      </c>
      <c r="C353" s="10">
        <v>4684.2269157641231</v>
      </c>
      <c r="D353" s="10">
        <v>1438.5693799972789</v>
      </c>
      <c r="E353" s="10">
        <v>156.04436659967203</v>
      </c>
      <c r="F353" s="10">
        <v>151738.23943050767</v>
      </c>
      <c r="G353" s="10" t="s">
        <v>114</v>
      </c>
      <c r="H353" s="10">
        <v>386279.79265025008</v>
      </c>
      <c r="I353" s="10">
        <v>394700.00867744652</v>
      </c>
      <c r="J353" s="10" t="s">
        <v>114</v>
      </c>
      <c r="K353" s="10">
        <v>22.677074622017241</v>
      </c>
      <c r="L353" s="10">
        <v>13.029389917416655</v>
      </c>
      <c r="M353" s="10">
        <v>183.59795891325493</v>
      </c>
      <c r="N353" s="10">
        <v>562.73627553147162</v>
      </c>
      <c r="O353" s="10">
        <v>558.81600825425414</v>
      </c>
      <c r="P353" s="10">
        <v>1.2401144711981624</v>
      </c>
      <c r="Q353" s="10">
        <v>3.681844447458174</v>
      </c>
      <c r="R353" s="10">
        <v>8.0511071775444361</v>
      </c>
      <c r="S353" s="10">
        <v>8.3251529498137753</v>
      </c>
      <c r="T353" s="10">
        <v>111.27403527702484</v>
      </c>
      <c r="U353" s="10">
        <v>115.94222078641205</v>
      </c>
      <c r="V353" s="10">
        <v>19.478413092782255</v>
      </c>
      <c r="W353" s="10" t="s">
        <v>114</v>
      </c>
      <c r="X353" s="10" t="s">
        <v>114</v>
      </c>
      <c r="Y353" s="10">
        <v>1597.531797970762</v>
      </c>
      <c r="Z353" s="10">
        <v>3.7534913486385175</v>
      </c>
      <c r="AA353" s="10">
        <v>1.1552444354775049</v>
      </c>
      <c r="AB353" s="10">
        <v>1.1143533841474258</v>
      </c>
      <c r="AC353" s="10" t="s">
        <v>114</v>
      </c>
      <c r="AD353" s="10" t="s">
        <v>114</v>
      </c>
      <c r="AE353" s="10">
        <v>0.69445804279064094</v>
      </c>
      <c r="AF353" s="10">
        <v>3.8944844652932949E-3</v>
      </c>
      <c r="AG353" s="10">
        <v>178.69843655652747</v>
      </c>
      <c r="AH353" s="10">
        <v>3.5845244209258872E-2</v>
      </c>
      <c r="AI353" s="10" t="s">
        <v>114</v>
      </c>
      <c r="AJ353" s="10">
        <v>9.6027052836809325E-3</v>
      </c>
      <c r="AK353" s="10">
        <v>3.0726663031773051E-2</v>
      </c>
      <c r="AL353" s="10" t="s">
        <v>114</v>
      </c>
      <c r="AM353" s="10" t="s">
        <v>114</v>
      </c>
      <c r="AN353" s="10">
        <v>8.8089218739410106E-3</v>
      </c>
      <c r="AO353" s="10" t="s">
        <v>114</v>
      </c>
      <c r="AP353" s="10" t="s">
        <v>114</v>
      </c>
      <c r="AQ353" s="10" t="s">
        <v>114</v>
      </c>
      <c r="AR353" s="10" t="s">
        <v>114</v>
      </c>
      <c r="AS353" s="10" t="s">
        <v>114</v>
      </c>
      <c r="AT353" s="10" t="s">
        <v>114</v>
      </c>
      <c r="AU353" s="10" t="s">
        <v>114</v>
      </c>
      <c r="AV353" s="10">
        <v>1.0399423017413254</v>
      </c>
      <c r="AW353" s="10">
        <v>23.650214449191989</v>
      </c>
      <c r="AX353" s="10" t="s">
        <v>114</v>
      </c>
      <c r="AY353" s="10" t="s">
        <v>114</v>
      </c>
      <c r="AZ353" s="10">
        <v>2.8494539743035099</v>
      </c>
      <c r="BA353" s="10">
        <v>2.5564342603629537</v>
      </c>
      <c r="BB353" s="10">
        <v>2.660561334113686</v>
      </c>
      <c r="BC353" s="10" t="s">
        <v>114</v>
      </c>
      <c r="BD353" s="10">
        <v>28.207140415767086</v>
      </c>
    </row>
    <row r="354" spans="1:56" x14ac:dyDescent="0.3">
      <c r="A354" t="s">
        <v>439</v>
      </c>
      <c r="B354" t="s">
        <v>432</v>
      </c>
      <c r="C354" s="10">
        <v>5157.7449300048856</v>
      </c>
      <c r="D354" s="10">
        <v>2143.1455066022654</v>
      </c>
      <c r="E354" s="10">
        <v>271.17382121127764</v>
      </c>
      <c r="F354" s="10">
        <v>147989.98281889618</v>
      </c>
      <c r="G354" s="10">
        <v>113.62335468154063</v>
      </c>
      <c r="H354" s="10">
        <v>375758.53527836758</v>
      </c>
      <c r="I354" s="10">
        <v>387968.4946344627</v>
      </c>
      <c r="J354" s="10">
        <v>4.4309886176558422</v>
      </c>
      <c r="K354" s="10">
        <v>14.558620667697824</v>
      </c>
      <c r="L354" s="10">
        <v>27.587252841463833</v>
      </c>
      <c r="M354" s="10">
        <v>373.14197964282329</v>
      </c>
      <c r="N354" s="10">
        <v>1327.3156050253308</v>
      </c>
      <c r="O354" s="10">
        <v>1346.1411348762799</v>
      </c>
      <c r="P354" s="10">
        <v>0.69515676431493512</v>
      </c>
      <c r="Q354" s="10">
        <v>6.7032636168492044</v>
      </c>
      <c r="R354" s="10">
        <v>5.6648501729040941</v>
      </c>
      <c r="S354" s="10">
        <v>5.5438267727828192</v>
      </c>
      <c r="T354" s="10">
        <v>128.83271832815302</v>
      </c>
      <c r="U354" s="10">
        <v>127.69376993636979</v>
      </c>
      <c r="V354" s="10">
        <v>23.476758338413156</v>
      </c>
      <c r="W354" s="10" t="s">
        <v>114</v>
      </c>
      <c r="X354" s="10" t="s">
        <v>114</v>
      </c>
      <c r="Y354" s="10">
        <v>1826.6605612684114</v>
      </c>
      <c r="Z354" s="10">
        <v>2.9628137286025291</v>
      </c>
      <c r="AA354" s="10">
        <v>0.93616316569407076</v>
      </c>
      <c r="AB354" s="10">
        <v>0.93732479434734184</v>
      </c>
      <c r="AC354" s="10" t="s">
        <v>114</v>
      </c>
      <c r="AD354" s="10" t="s">
        <v>114</v>
      </c>
      <c r="AE354" s="10">
        <v>0.63252047091052577</v>
      </c>
      <c r="AF354" s="10">
        <v>4.4953858762971687E-3</v>
      </c>
      <c r="AG354" s="10">
        <v>73.86414873862573</v>
      </c>
      <c r="AH354" s="10">
        <v>0.13854148753367165</v>
      </c>
      <c r="AI354" s="10">
        <v>0.21271824595440231</v>
      </c>
      <c r="AJ354" s="10">
        <v>1.9126621163273658E-2</v>
      </c>
      <c r="AK354" s="10">
        <v>8.7287024268754843E-2</v>
      </c>
      <c r="AL354" s="10">
        <v>1.886220381439958E-2</v>
      </c>
      <c r="AM354" s="10" t="s">
        <v>114</v>
      </c>
      <c r="AN354" s="10">
        <v>1.7935071895766881E-2</v>
      </c>
      <c r="AO354" s="10" t="s">
        <v>114</v>
      </c>
      <c r="AP354" s="10">
        <v>3.7799141222664694E-2</v>
      </c>
      <c r="AQ354" s="10" t="s">
        <v>114</v>
      </c>
      <c r="AR354" s="10">
        <v>3.957911953915514E-2</v>
      </c>
      <c r="AS354" s="10">
        <v>7.2067515270192346E-3</v>
      </c>
      <c r="AT354" s="10">
        <v>5.8552149653563999E-2</v>
      </c>
      <c r="AU354" s="10">
        <v>1.0670567391268817E-2</v>
      </c>
      <c r="AV354" s="10">
        <v>0.63088273455472643</v>
      </c>
      <c r="AW354" s="10">
        <v>22.088339354820707</v>
      </c>
      <c r="AX354" s="10" t="s">
        <v>114</v>
      </c>
      <c r="AY354" s="10" t="s">
        <v>114</v>
      </c>
      <c r="AZ354" s="10">
        <v>17.715587178247649</v>
      </c>
      <c r="BA354" s="10">
        <v>16.022277881025545</v>
      </c>
      <c r="BB354" s="10">
        <v>16.385858615531372</v>
      </c>
      <c r="BC354" s="10" t="s">
        <v>114</v>
      </c>
      <c r="BD354" s="10">
        <v>29.171708521428844</v>
      </c>
    </row>
    <row r="355" spans="1:56" x14ac:dyDescent="0.3">
      <c r="A355" t="s">
        <v>440</v>
      </c>
      <c r="B355" t="s">
        <v>432</v>
      </c>
      <c r="C355" s="10">
        <v>6275.4361270797981</v>
      </c>
      <c r="D355" s="10">
        <v>3078.476064685161</v>
      </c>
      <c r="E355" s="10">
        <v>264.11947289910358</v>
      </c>
      <c r="F355" s="10">
        <v>159643.49266169424</v>
      </c>
      <c r="G355" s="10">
        <v>143.13823775108636</v>
      </c>
      <c r="H355" s="10">
        <v>407594.9565140176</v>
      </c>
      <c r="I355" s="10">
        <v>425953.07060310501</v>
      </c>
      <c r="J355" s="10">
        <v>15.121289965915988</v>
      </c>
      <c r="K355" s="10">
        <v>12.709859731309201</v>
      </c>
      <c r="L355" s="10">
        <v>10.662125752043245</v>
      </c>
      <c r="M355" s="10">
        <v>1072.337189161364</v>
      </c>
      <c r="N355" s="10">
        <v>1427.5918941164548</v>
      </c>
      <c r="O355" s="10">
        <v>1426.8171322862872</v>
      </c>
      <c r="P355" s="10">
        <v>2.7680274592365737</v>
      </c>
      <c r="Q355" s="10">
        <v>13.803647403148961</v>
      </c>
      <c r="R355" s="10">
        <v>28.589733287716481</v>
      </c>
      <c r="S355" s="10">
        <v>29.2498816473483</v>
      </c>
      <c r="T355" s="10">
        <v>107.00297529808357</v>
      </c>
      <c r="U355" s="10">
        <v>169.80352850822888</v>
      </c>
      <c r="V355" s="10">
        <v>14.751834158354418</v>
      </c>
      <c r="W355" s="10" t="s">
        <v>114</v>
      </c>
      <c r="X355" s="10">
        <v>0.2978459914075568</v>
      </c>
      <c r="Y355" s="10">
        <v>2609.0811695252883</v>
      </c>
      <c r="Z355" s="10">
        <v>3.4619690148886701</v>
      </c>
      <c r="AA355" s="10">
        <v>0.92739208476913138</v>
      </c>
      <c r="AB355" s="10">
        <v>0.83516179636318122</v>
      </c>
      <c r="AC355" s="10">
        <v>5.2711725360758167E-2</v>
      </c>
      <c r="AD355" s="10" t="s">
        <v>114</v>
      </c>
      <c r="AE355" s="10">
        <v>0.84652501562351123</v>
      </c>
      <c r="AF355" s="10">
        <v>5.9376901724121087E-3</v>
      </c>
      <c r="AG355" s="10">
        <v>1304.8221551934862</v>
      </c>
      <c r="AH355" s="10">
        <v>0.20502089920908764</v>
      </c>
      <c r="AI355" s="10">
        <v>0.41222872383517867</v>
      </c>
      <c r="AJ355" s="10">
        <v>5.7726388044128808E-2</v>
      </c>
      <c r="AK355" s="10">
        <v>0.23296563900808381</v>
      </c>
      <c r="AL355" s="10">
        <v>6.1342804306905134E-2</v>
      </c>
      <c r="AM355" s="10">
        <v>3.0629077370171644E-2</v>
      </c>
      <c r="AN355" s="10">
        <v>7.6538958362476275E-2</v>
      </c>
      <c r="AO355" s="10" t="s">
        <v>114</v>
      </c>
      <c r="AP355" s="10">
        <v>6.6100277320358544E-2</v>
      </c>
      <c r="AQ355" s="10" t="s">
        <v>114</v>
      </c>
      <c r="AR355" s="10">
        <v>4.6950802350172106E-2</v>
      </c>
      <c r="AS355" s="10">
        <v>4.9717317855191854E-3</v>
      </c>
      <c r="AT355" s="10">
        <v>3.4574582051813955E-2</v>
      </c>
      <c r="AU355" s="10">
        <v>8.2057161543095929E-3</v>
      </c>
      <c r="AV355" s="10">
        <v>0.54812644045895953</v>
      </c>
      <c r="AW355" s="10">
        <v>22.259930806996508</v>
      </c>
      <c r="AX355" s="10" t="s">
        <v>114</v>
      </c>
      <c r="AY355" s="10" t="s">
        <v>114</v>
      </c>
      <c r="AZ355" s="10">
        <v>56.419882739159974</v>
      </c>
      <c r="BA355" s="10">
        <v>50.698190804227657</v>
      </c>
      <c r="BB355" s="10">
        <v>52.238503230715288</v>
      </c>
      <c r="BC355" s="10" t="s">
        <v>114</v>
      </c>
      <c r="BD355" s="10">
        <v>42.739471394159473</v>
      </c>
    </row>
    <row r="356" spans="1:56" x14ac:dyDescent="0.3">
      <c r="A356" t="s">
        <v>441</v>
      </c>
      <c r="B356" t="s">
        <v>432</v>
      </c>
      <c r="C356" s="10">
        <v>6853.2219529385047</v>
      </c>
      <c r="D356" s="10">
        <v>1756.414831333281</v>
      </c>
      <c r="E356" s="10">
        <v>252.99533864549113</v>
      </c>
      <c r="F356" s="10">
        <v>155787.02685717514</v>
      </c>
      <c r="G356" s="10" t="s">
        <v>114</v>
      </c>
      <c r="H356" s="10">
        <v>394347.30553030118</v>
      </c>
      <c r="I356" s="10">
        <v>402172.84839938156</v>
      </c>
      <c r="J356" s="10">
        <v>15.956645308973323</v>
      </c>
      <c r="K356" s="10">
        <v>25.51378632158157</v>
      </c>
      <c r="L356" s="10">
        <v>33.477727805230458</v>
      </c>
      <c r="M356" s="10">
        <v>443.04265563050126</v>
      </c>
      <c r="N356" s="10">
        <v>1989.9899568813744</v>
      </c>
      <c r="O356" s="10">
        <v>1984.5117046608968</v>
      </c>
      <c r="P356" s="10">
        <v>10.742381790173383</v>
      </c>
      <c r="Q356" s="10">
        <v>54.070372248838154</v>
      </c>
      <c r="R356" s="10">
        <v>41.297836254989569</v>
      </c>
      <c r="S356" s="10">
        <v>42.15594354373269</v>
      </c>
      <c r="T356" s="10">
        <v>91.117676507389902</v>
      </c>
      <c r="U356" s="10">
        <v>91.103082639801954</v>
      </c>
      <c r="V356" s="10">
        <v>33.966544994289421</v>
      </c>
      <c r="W356" s="10" t="s">
        <v>114</v>
      </c>
      <c r="X356" s="10" t="s">
        <v>114</v>
      </c>
      <c r="Y356" s="10">
        <v>1759.7764741521728</v>
      </c>
      <c r="Z356" s="10">
        <v>5.6034392353323037</v>
      </c>
      <c r="AA356" s="10">
        <v>3.6923304256168397</v>
      </c>
      <c r="AB356" s="10">
        <v>3.8031669505384462</v>
      </c>
      <c r="AC356" s="10">
        <v>5.7880771454105348E-2</v>
      </c>
      <c r="AD356" s="10" t="s">
        <v>114</v>
      </c>
      <c r="AE356" s="10">
        <v>2.2494080318807983</v>
      </c>
      <c r="AF356" s="10">
        <v>1.3412701177440802E-3</v>
      </c>
      <c r="AG356" s="10">
        <v>108.18367389882</v>
      </c>
      <c r="AH356" s="10">
        <v>0.34696138251712549</v>
      </c>
      <c r="AI356" s="10">
        <v>0.62481885337618559</v>
      </c>
      <c r="AJ356" s="10">
        <v>5.627019575779884E-2</v>
      </c>
      <c r="AK356" s="10">
        <v>0.24629465830759878</v>
      </c>
      <c r="AL356" s="10">
        <v>5.9819592197470316E-2</v>
      </c>
      <c r="AM356" s="10">
        <v>1.3550650007733011E-2</v>
      </c>
      <c r="AN356" s="10">
        <v>7.319026029999616E-2</v>
      </c>
      <c r="AO356" s="10" t="s">
        <v>114</v>
      </c>
      <c r="AP356" s="10">
        <v>0.1234601202685681</v>
      </c>
      <c r="AQ356" s="10" t="s">
        <v>114</v>
      </c>
      <c r="AR356" s="10">
        <v>9.8797529255468003E-2</v>
      </c>
      <c r="AS356" s="10">
        <v>1.2477151227438654E-2</v>
      </c>
      <c r="AT356" s="10">
        <v>0.11055357949558733</v>
      </c>
      <c r="AU356" s="10">
        <v>1.622296490430335E-2</v>
      </c>
      <c r="AV356" s="10">
        <v>0.54267255076307741</v>
      </c>
      <c r="AW356" s="10">
        <v>22.804706373606933</v>
      </c>
      <c r="AX356" s="10" t="s">
        <v>114</v>
      </c>
      <c r="AY356" s="10" t="s">
        <v>114</v>
      </c>
      <c r="AZ356" s="10">
        <v>10.175981149475135</v>
      </c>
      <c r="BA356" s="10">
        <v>9.0918030372794458</v>
      </c>
      <c r="BB356" s="10">
        <v>9.4273792348260042</v>
      </c>
      <c r="BC356" s="10" t="s">
        <v>114</v>
      </c>
      <c r="BD356" s="10">
        <v>58.353090581839396</v>
      </c>
    </row>
    <row r="357" spans="1:56" x14ac:dyDescent="0.3">
      <c r="A357" t="s">
        <v>442</v>
      </c>
      <c r="B357" t="s">
        <v>432</v>
      </c>
      <c r="C357" s="10">
        <v>5052.9636707342879</v>
      </c>
      <c r="D357" s="10">
        <v>3040.977668753249</v>
      </c>
      <c r="E357" s="10">
        <v>411.7385173931678</v>
      </c>
      <c r="F357" s="10">
        <v>159641.34133826994</v>
      </c>
      <c r="G357" s="10">
        <v>163.08836108958965</v>
      </c>
      <c r="H357" s="10">
        <v>394250.59361945064</v>
      </c>
      <c r="I357" s="10">
        <v>402957.16077355208</v>
      </c>
      <c r="J357" s="10">
        <v>8.5112941156374013</v>
      </c>
      <c r="K357" s="10">
        <v>9.2869617772919195</v>
      </c>
      <c r="L357" s="10">
        <v>5.9000763301811388</v>
      </c>
      <c r="M357" s="10">
        <v>599.35685131653452</v>
      </c>
      <c r="N357" s="10">
        <v>605.66681467941578</v>
      </c>
      <c r="O357" s="10">
        <v>621.45144364958549</v>
      </c>
      <c r="P357" s="10">
        <v>1.5464860301326393</v>
      </c>
      <c r="Q357" s="10">
        <v>5.9231456679618022</v>
      </c>
      <c r="R357" s="10">
        <v>22.764781943235818</v>
      </c>
      <c r="S357" s="10">
        <v>23.600328185471582</v>
      </c>
      <c r="T357" s="10">
        <v>103.2869445313974</v>
      </c>
      <c r="U357" s="10">
        <v>105.93003234221347</v>
      </c>
      <c r="V357" s="10">
        <v>7.605025239349807</v>
      </c>
      <c r="W357" s="10" t="s">
        <v>114</v>
      </c>
      <c r="X357" s="10">
        <v>0.46281671624217879</v>
      </c>
      <c r="Y357" s="10">
        <v>1424.4466106676296</v>
      </c>
      <c r="Z357" s="10">
        <v>4.1867571503161765</v>
      </c>
      <c r="AA357" s="10">
        <v>1.7606897366947252</v>
      </c>
      <c r="AB357" s="10">
        <v>1.916349294171195</v>
      </c>
      <c r="AC357" s="10" t="s">
        <v>114</v>
      </c>
      <c r="AD357" s="10" t="s">
        <v>114</v>
      </c>
      <c r="AE357" s="10">
        <v>0.57846274639912298</v>
      </c>
      <c r="AF357" s="10">
        <v>9.956078046232341E-3</v>
      </c>
      <c r="AG357" s="10">
        <v>98.148864300402195</v>
      </c>
      <c r="AH357" s="10">
        <v>0.36774429453448265</v>
      </c>
      <c r="AI357" s="10">
        <v>0.77795598682170808</v>
      </c>
      <c r="AJ357" s="10">
        <v>8.2950058716950367E-2</v>
      </c>
      <c r="AK357" s="10">
        <v>0.32438069203055175</v>
      </c>
      <c r="AL357" s="10">
        <v>4.5647069804326722E-2</v>
      </c>
      <c r="AM357" s="10">
        <v>1.8033404112786495E-2</v>
      </c>
      <c r="AN357" s="10">
        <v>6.6943935202810279E-2</v>
      </c>
      <c r="AO357" s="10" t="s">
        <v>114</v>
      </c>
      <c r="AP357" s="10">
        <v>6.6583800971614052E-2</v>
      </c>
      <c r="AQ357" s="10" t="s">
        <v>114</v>
      </c>
      <c r="AR357" s="10">
        <v>5.0924920510220538E-2</v>
      </c>
      <c r="AS357" s="10">
        <v>6.8238667709982163E-3</v>
      </c>
      <c r="AT357" s="10">
        <v>5.6124581322377749E-2</v>
      </c>
      <c r="AU357" s="10">
        <v>7.8181012977095177E-3</v>
      </c>
      <c r="AV357" s="10">
        <v>1.4783357535143122</v>
      </c>
      <c r="AW357" s="10">
        <v>24.123980740747321</v>
      </c>
      <c r="AX357" s="10" t="s">
        <v>114</v>
      </c>
      <c r="AY357" s="10" t="s">
        <v>114</v>
      </c>
      <c r="AZ357" s="10">
        <v>20.961716947260623</v>
      </c>
      <c r="BA357" s="10">
        <v>18.84140960099441</v>
      </c>
      <c r="BB357" s="10">
        <v>19.458975962857217</v>
      </c>
      <c r="BC357" s="10">
        <v>0.46106699922759953</v>
      </c>
      <c r="BD357" s="10">
        <v>58.329527947276759</v>
      </c>
    </row>
    <row r="358" spans="1:56" x14ac:dyDescent="0.3">
      <c r="A358" t="s">
        <v>443</v>
      </c>
      <c r="B358" t="s">
        <v>432</v>
      </c>
      <c r="C358" s="10">
        <v>5986.355307533383</v>
      </c>
      <c r="D358" s="10">
        <v>2290.0066237929395</v>
      </c>
      <c r="E358" s="10">
        <v>298.56428921122534</v>
      </c>
      <c r="F358" s="10">
        <v>175473.39368415141</v>
      </c>
      <c r="G358" s="10" t="s">
        <v>114</v>
      </c>
      <c r="H358" s="10">
        <v>434367.85299858911</v>
      </c>
      <c r="I358" s="10">
        <v>440589.09086401376</v>
      </c>
      <c r="J358" s="10" t="s">
        <v>114</v>
      </c>
      <c r="K358" s="10">
        <v>12.081504332930749</v>
      </c>
      <c r="L358" s="10">
        <v>22.802541696356318</v>
      </c>
      <c r="M358" s="10">
        <v>1062.3329223425635</v>
      </c>
      <c r="N358" s="10">
        <v>794.8304701214189</v>
      </c>
      <c r="O358" s="10">
        <v>807.82865986398565</v>
      </c>
      <c r="P358" s="10">
        <v>1.8602821941419883</v>
      </c>
      <c r="Q358" s="10">
        <v>11.351560353722185</v>
      </c>
      <c r="R358" s="10">
        <v>11.281922068504942</v>
      </c>
      <c r="S358" s="10">
        <v>11.02137859043841</v>
      </c>
      <c r="T358" s="10">
        <v>115.73176468875221</v>
      </c>
      <c r="U358" s="10">
        <v>120.17976111813056</v>
      </c>
      <c r="V358" s="10">
        <v>12.189133622350935</v>
      </c>
      <c r="W358" s="10" t="s">
        <v>114</v>
      </c>
      <c r="X358" s="10" t="s">
        <v>114</v>
      </c>
      <c r="Y358" s="10">
        <v>1588.8621969750661</v>
      </c>
      <c r="Z358" s="10">
        <v>3.2621071269914315</v>
      </c>
      <c r="AA358" s="10">
        <v>2.2614481537327804</v>
      </c>
      <c r="AB358" s="10">
        <v>2.2865683608535674</v>
      </c>
      <c r="AC358" s="10" t="s">
        <v>114</v>
      </c>
      <c r="AD358" s="10" t="s">
        <v>114</v>
      </c>
      <c r="AE358" s="10">
        <v>0.53187933501977402</v>
      </c>
      <c r="AF358" s="10">
        <v>2.799680319860423E-3</v>
      </c>
      <c r="AG358" s="10">
        <v>232.1960607091531</v>
      </c>
      <c r="AH358" s="10">
        <v>4.7379711431164755E-2</v>
      </c>
      <c r="AI358" s="10">
        <v>8.4277759794608068E-2</v>
      </c>
      <c r="AJ358" s="10" t="s">
        <v>114</v>
      </c>
      <c r="AK358" s="10">
        <v>4.1001755246306615E-2</v>
      </c>
      <c r="AL358" s="10" t="s">
        <v>114</v>
      </c>
      <c r="AM358" s="10" t="s">
        <v>114</v>
      </c>
      <c r="AN358" s="10" t="s">
        <v>114</v>
      </c>
      <c r="AO358" s="10" t="s">
        <v>114</v>
      </c>
      <c r="AP358" s="10" t="s">
        <v>114</v>
      </c>
      <c r="AQ358" s="10" t="s">
        <v>114</v>
      </c>
      <c r="AR358" s="10" t="s">
        <v>114</v>
      </c>
      <c r="AS358" s="10" t="s">
        <v>114</v>
      </c>
      <c r="AT358" s="10" t="s">
        <v>114</v>
      </c>
      <c r="AU358" s="10" t="s">
        <v>114</v>
      </c>
      <c r="AV358" s="10">
        <v>1.1495425428348214</v>
      </c>
      <c r="AW358" s="10">
        <v>23.989687021596978</v>
      </c>
      <c r="AX358" s="10" t="s">
        <v>114</v>
      </c>
      <c r="AY358" s="10" t="s">
        <v>114</v>
      </c>
      <c r="AZ358" s="10">
        <v>11.127412014087552</v>
      </c>
      <c r="BA358" s="10">
        <v>9.8770987431341712</v>
      </c>
      <c r="BB358" s="10">
        <v>10.256757269322097</v>
      </c>
      <c r="BC358" s="10" t="s">
        <v>114</v>
      </c>
      <c r="BD358" s="10">
        <v>44.308007520924015</v>
      </c>
    </row>
    <row r="359" spans="1:56" x14ac:dyDescent="0.3">
      <c r="A359" t="s">
        <v>444</v>
      </c>
      <c r="B359" t="s">
        <v>432</v>
      </c>
      <c r="C359" s="10">
        <v>6524.9273662459327</v>
      </c>
      <c r="D359" s="10">
        <v>1573.302722836256</v>
      </c>
      <c r="E359" s="10">
        <v>576.16165022785356</v>
      </c>
      <c r="F359" s="10">
        <v>162649.4158849185</v>
      </c>
      <c r="G359" s="10" t="s">
        <v>114</v>
      </c>
      <c r="H359" s="10">
        <v>406494.4230463042</v>
      </c>
      <c r="I359" s="10">
        <v>410011.73290424841</v>
      </c>
      <c r="J359" s="10" t="s">
        <v>114</v>
      </c>
      <c r="K359" s="10">
        <v>14.580319424080137</v>
      </c>
      <c r="L359" s="10">
        <v>7.2860150622853688</v>
      </c>
      <c r="M359" s="10">
        <v>440.7403831624332</v>
      </c>
      <c r="N359" s="10">
        <v>1438.9568108125786</v>
      </c>
      <c r="O359" s="10">
        <v>1413.3961959690137</v>
      </c>
      <c r="P359" s="10">
        <v>4.5973644636150279</v>
      </c>
      <c r="Q359" s="10">
        <v>8.7645761330069423</v>
      </c>
      <c r="R359" s="10">
        <v>15.844103789321659</v>
      </c>
      <c r="S359" s="10">
        <v>15.364079695450563</v>
      </c>
      <c r="T359" s="10">
        <v>122.28083622013202</v>
      </c>
      <c r="U359" s="10">
        <v>118.99957970330597</v>
      </c>
      <c r="V359" s="10">
        <v>36.638898536635082</v>
      </c>
      <c r="W359" s="10" t="s">
        <v>114</v>
      </c>
      <c r="X359" s="10">
        <v>0.18323766650141324</v>
      </c>
      <c r="Y359" s="10">
        <v>1211.2572768751838</v>
      </c>
      <c r="Z359" s="10">
        <v>3.0848819660739952</v>
      </c>
      <c r="AA359" s="10">
        <v>1.0478399213578595</v>
      </c>
      <c r="AB359" s="10">
        <v>0.99643973177695333</v>
      </c>
      <c r="AC359" s="10" t="s">
        <v>114</v>
      </c>
      <c r="AD359" s="10" t="s">
        <v>114</v>
      </c>
      <c r="AE359" s="10">
        <v>1.0811939965718873</v>
      </c>
      <c r="AF359" s="10">
        <v>3.1743970537943022E-3</v>
      </c>
      <c r="AG359" s="10">
        <v>57.531049284883416</v>
      </c>
      <c r="AH359" s="10">
        <v>0.14903516179772219</v>
      </c>
      <c r="AI359" s="10">
        <v>0.33455644385340455</v>
      </c>
      <c r="AJ359" s="10">
        <v>3.2695004151198068E-2</v>
      </c>
      <c r="AK359" s="10">
        <v>0.15949796584572326</v>
      </c>
      <c r="AL359" s="10">
        <v>2.6768063161491017E-2</v>
      </c>
      <c r="AM359" s="10" t="s">
        <v>114</v>
      </c>
      <c r="AN359" s="10">
        <v>3.2371634201623152E-2</v>
      </c>
      <c r="AO359" s="10" t="s">
        <v>114</v>
      </c>
      <c r="AP359" s="10">
        <v>2.837001857131087E-2</v>
      </c>
      <c r="AQ359" s="10" t="s">
        <v>114</v>
      </c>
      <c r="AR359" s="10">
        <v>2.3479765032576479E-2</v>
      </c>
      <c r="AS359" s="10">
        <v>3.5052859869427939E-3</v>
      </c>
      <c r="AT359" s="10">
        <v>2.2582804802447506E-2</v>
      </c>
      <c r="AU359" s="10">
        <v>4.0347035369794068E-3</v>
      </c>
      <c r="AV359" s="10">
        <v>0.94424170528940043</v>
      </c>
      <c r="AW359" s="10">
        <v>23.20299468303385</v>
      </c>
      <c r="AX359" s="10" t="s">
        <v>114</v>
      </c>
      <c r="AY359" s="10" t="s">
        <v>114</v>
      </c>
      <c r="AZ359" s="10">
        <v>8.5520875485591183</v>
      </c>
      <c r="BA359" s="10">
        <v>7.5400706257746357</v>
      </c>
      <c r="BB359" s="10">
        <v>7.8612257185239187</v>
      </c>
      <c r="BC359" s="10" t="s">
        <v>114</v>
      </c>
      <c r="BD359" s="10">
        <v>37.286751323522097</v>
      </c>
    </row>
    <row r="360" spans="1:56" x14ac:dyDescent="0.3">
      <c r="A360" t="s">
        <v>445</v>
      </c>
      <c r="B360" t="s">
        <v>432</v>
      </c>
      <c r="C360" s="10">
        <v>6280.0720649466166</v>
      </c>
      <c r="D360" s="10">
        <v>3078.6951216875191</v>
      </c>
      <c r="E360" s="10">
        <v>762.52856483680421</v>
      </c>
      <c r="F360" s="10">
        <v>160328.54224196397</v>
      </c>
      <c r="G360" s="10">
        <v>323.84912746715543</v>
      </c>
      <c r="H360" s="10">
        <v>400490.57960770978</v>
      </c>
      <c r="I360" s="10">
        <v>409085.56460151845</v>
      </c>
      <c r="J360" s="10">
        <v>10.57820641716563</v>
      </c>
      <c r="K360" s="10">
        <v>18.100291203590455</v>
      </c>
      <c r="L360" s="10">
        <v>19.094670164150656</v>
      </c>
      <c r="M360" s="10">
        <v>482.6311252824986</v>
      </c>
      <c r="N360" s="10">
        <v>1830.9040691101625</v>
      </c>
      <c r="O360" s="10">
        <v>1821.6185947683498</v>
      </c>
      <c r="P360" s="10">
        <v>1.1625772733893802</v>
      </c>
      <c r="Q360" s="10">
        <v>19.35763838435247</v>
      </c>
      <c r="R360" s="10">
        <v>25.059887774708436</v>
      </c>
      <c r="S360" s="10">
        <v>25.057256616620066</v>
      </c>
      <c r="T360" s="10">
        <v>115.8429386780987</v>
      </c>
      <c r="U360" s="10">
        <v>116.38988656602574</v>
      </c>
      <c r="V360" s="10">
        <v>19.644618595398843</v>
      </c>
      <c r="W360" s="10" t="s">
        <v>114</v>
      </c>
      <c r="X360" s="10">
        <v>1.1341309663981611</v>
      </c>
      <c r="Y360" s="10">
        <v>1486.5225085277889</v>
      </c>
      <c r="Z360" s="10">
        <v>5.6394952659415418</v>
      </c>
      <c r="AA360" s="10">
        <v>3.4443536050149675</v>
      </c>
      <c r="AB360" s="10">
        <v>3.385696288291058</v>
      </c>
      <c r="AC360" s="10">
        <v>4.8830809405488368E-2</v>
      </c>
      <c r="AD360" s="10" t="s">
        <v>114</v>
      </c>
      <c r="AE360" s="10">
        <v>1.2400177469261398</v>
      </c>
      <c r="AF360" s="10">
        <v>2.1448100086865537E-2</v>
      </c>
      <c r="AG360" s="10">
        <v>135.6698527774565</v>
      </c>
      <c r="AH360" s="10">
        <v>0.69356664839261783</v>
      </c>
      <c r="AI360" s="10">
        <v>1.3620401778555129</v>
      </c>
      <c r="AJ360" s="10">
        <v>0.12407064855480496</v>
      </c>
      <c r="AK360" s="10">
        <v>0.56294813571122126</v>
      </c>
      <c r="AL360" s="10">
        <v>0.11018899536687177</v>
      </c>
      <c r="AM360" s="10">
        <v>3.2594830149452927E-2</v>
      </c>
      <c r="AN360" s="10">
        <v>0.14178408930385911</v>
      </c>
      <c r="AO360" s="10" t="s">
        <v>114</v>
      </c>
      <c r="AP360" s="10">
        <v>0.16667077194857971</v>
      </c>
      <c r="AQ360" s="10" t="s">
        <v>114</v>
      </c>
      <c r="AR360" s="10">
        <v>0.16717171142818663</v>
      </c>
      <c r="AS360" s="10">
        <v>2.5188887241284943E-2</v>
      </c>
      <c r="AT360" s="10">
        <v>0.21770271924311599</v>
      </c>
      <c r="AU360" s="10">
        <v>3.5641312537727329E-2</v>
      </c>
      <c r="AV360" s="10">
        <v>0.78308782107576425</v>
      </c>
      <c r="AW360" s="10">
        <v>22.564980277976876</v>
      </c>
      <c r="AX360" s="10" t="s">
        <v>114</v>
      </c>
      <c r="AY360" s="10" t="s">
        <v>114</v>
      </c>
      <c r="AZ360" s="10">
        <v>53.474573190022461</v>
      </c>
      <c r="BA360" s="10">
        <v>47.983434669083799</v>
      </c>
      <c r="BB360" s="10">
        <v>49.498878982340315</v>
      </c>
      <c r="BC360" s="10" t="s">
        <v>114</v>
      </c>
      <c r="BD360" s="10">
        <v>36.211745944794224</v>
      </c>
    </row>
    <row r="361" spans="1:56" x14ac:dyDescent="0.3">
      <c r="A361" t="s">
        <v>446</v>
      </c>
      <c r="B361" t="s">
        <v>432</v>
      </c>
      <c r="C361" s="10">
        <v>6373.0676386879795</v>
      </c>
      <c r="D361" s="10">
        <v>2747.046013406607</v>
      </c>
      <c r="E361" s="10">
        <v>276.98037026993023</v>
      </c>
      <c r="F361" s="10">
        <v>149508.72324351105</v>
      </c>
      <c r="G361" s="10">
        <v>113.20355646054715</v>
      </c>
      <c r="H361" s="10">
        <v>369026.46856198797</v>
      </c>
      <c r="I361" s="10">
        <v>379791.55257044808</v>
      </c>
      <c r="J361" s="10" t="s">
        <v>114</v>
      </c>
      <c r="K361" s="10">
        <v>10.593333341152167</v>
      </c>
      <c r="L361" s="10">
        <v>16.127041789808658</v>
      </c>
      <c r="M361" s="10">
        <v>626.36037383634641</v>
      </c>
      <c r="N361" s="10">
        <v>684.61389938338937</v>
      </c>
      <c r="O361" s="10">
        <v>694.24486246669778</v>
      </c>
      <c r="P361" s="10">
        <v>0.71171408080723286</v>
      </c>
      <c r="Q361" s="10">
        <v>9.0870462079002134</v>
      </c>
      <c r="R361" s="10">
        <v>30.215414134165957</v>
      </c>
      <c r="S361" s="10">
        <v>30.205026741879355</v>
      </c>
      <c r="T361" s="10">
        <v>118.40970228878781</v>
      </c>
      <c r="U361" s="10">
        <v>136.29081514122248</v>
      </c>
      <c r="V361" s="10">
        <v>9.2303192293331797</v>
      </c>
      <c r="W361" s="10" t="s">
        <v>114</v>
      </c>
      <c r="X361" s="10" t="s">
        <v>114</v>
      </c>
      <c r="Y361" s="10">
        <v>1957.196481176039</v>
      </c>
      <c r="Z361" s="10">
        <v>4.0149320416663414</v>
      </c>
      <c r="AA361" s="10">
        <v>1.1319635029687745</v>
      </c>
      <c r="AB361" s="10">
        <v>1.0253507479237867</v>
      </c>
      <c r="AC361" s="10" t="s">
        <v>114</v>
      </c>
      <c r="AD361" s="10" t="s">
        <v>114</v>
      </c>
      <c r="AE361" s="10">
        <v>0.52510241557004045</v>
      </c>
      <c r="AF361" s="10">
        <v>5.2603404041235988E-3</v>
      </c>
      <c r="AG361" s="10">
        <v>459.83918289074217</v>
      </c>
      <c r="AH361" s="10">
        <v>5.3992971207226709E-2</v>
      </c>
      <c r="AI361" s="10">
        <v>8.8668318692802561E-2</v>
      </c>
      <c r="AJ361" s="10">
        <v>1.1525489261629981E-2</v>
      </c>
      <c r="AK361" s="10">
        <v>5.2819802219978486E-2</v>
      </c>
      <c r="AL361" s="10" t="s">
        <v>114</v>
      </c>
      <c r="AM361" s="10">
        <v>1.1671126034825756E-2</v>
      </c>
      <c r="AN361" s="10" t="s">
        <v>114</v>
      </c>
      <c r="AO361" s="10" t="s">
        <v>114</v>
      </c>
      <c r="AP361" s="10" t="s">
        <v>114</v>
      </c>
      <c r="AQ361" s="10" t="s">
        <v>114</v>
      </c>
      <c r="AR361" s="10" t="s">
        <v>114</v>
      </c>
      <c r="AS361" s="10" t="s">
        <v>114</v>
      </c>
      <c r="AT361" s="10" t="s">
        <v>114</v>
      </c>
      <c r="AU361" s="10" t="s">
        <v>114</v>
      </c>
      <c r="AV361" s="10">
        <v>0.67850365017607195</v>
      </c>
      <c r="AW361" s="10">
        <v>21.487558386026297</v>
      </c>
      <c r="AX361" s="10" t="s">
        <v>114</v>
      </c>
      <c r="AY361" s="10" t="s">
        <v>114</v>
      </c>
      <c r="AZ361" s="10">
        <v>28.450137024722494</v>
      </c>
      <c r="BA361" s="10">
        <v>25.733020287822811</v>
      </c>
      <c r="BB361" s="10">
        <v>26.461218818306357</v>
      </c>
      <c r="BC361" s="10" t="s">
        <v>114</v>
      </c>
      <c r="BD361" s="10">
        <v>23.023324576945189</v>
      </c>
    </row>
    <row r="362" spans="1:56" x14ac:dyDescent="0.3">
      <c r="A362" t="s">
        <v>447</v>
      </c>
      <c r="B362" t="s">
        <v>432</v>
      </c>
      <c r="C362" s="10">
        <v>7623.8318414351161</v>
      </c>
      <c r="D362" s="10">
        <v>3451.0779949999232</v>
      </c>
      <c r="E362" s="10">
        <v>1260.9752440981752</v>
      </c>
      <c r="F362" s="10">
        <v>145392.59602140024</v>
      </c>
      <c r="G362" s="10">
        <v>398.20790008012193</v>
      </c>
      <c r="H362" s="10">
        <v>367508.89191693859</v>
      </c>
      <c r="I362" s="10">
        <v>385369.53414548916</v>
      </c>
      <c r="J362" s="10">
        <v>13.755448121410048</v>
      </c>
      <c r="K362" s="10">
        <v>28.472599577009181</v>
      </c>
      <c r="L362" s="10">
        <v>15.617345811342275</v>
      </c>
      <c r="M362" s="10">
        <v>458.43761615111436</v>
      </c>
      <c r="N362" s="10">
        <v>1545.2856484274705</v>
      </c>
      <c r="O362" s="10">
        <v>1567.7615629979282</v>
      </c>
      <c r="P362" s="10">
        <v>0.60432001833577997</v>
      </c>
      <c r="Q362" s="10">
        <v>12.508548937494618</v>
      </c>
      <c r="R362" s="10">
        <v>44.949128094744665</v>
      </c>
      <c r="S362" s="10">
        <v>45.525270195270807</v>
      </c>
      <c r="T362" s="10">
        <v>91.472045796494072</v>
      </c>
      <c r="U362" s="10">
        <v>103.51189220035316</v>
      </c>
      <c r="V362" s="10">
        <v>9.6532563300345799</v>
      </c>
      <c r="W362" s="10" t="s">
        <v>114</v>
      </c>
      <c r="X362" s="10">
        <v>1.3340542597920633</v>
      </c>
      <c r="Y362" s="10">
        <v>2899.4713159013859</v>
      </c>
      <c r="Z362" s="10">
        <v>7.0809381326923146</v>
      </c>
      <c r="AA362" s="10">
        <v>0.82357620580774327</v>
      </c>
      <c r="AB362" s="10">
        <v>0.85462957689382069</v>
      </c>
      <c r="AC362" s="10" t="s">
        <v>114</v>
      </c>
      <c r="AD362" s="10" t="s">
        <v>114</v>
      </c>
      <c r="AE362" s="10">
        <v>0.7340283037373182</v>
      </c>
      <c r="AF362" s="10">
        <v>2.6705246208851254E-2</v>
      </c>
      <c r="AG362" s="10">
        <v>314.30614432316366</v>
      </c>
      <c r="AH362" s="10">
        <v>0.91570520687065737</v>
      </c>
      <c r="AI362" s="10">
        <v>1.7087702255003634</v>
      </c>
      <c r="AJ362" s="10">
        <v>0.17382691750611698</v>
      </c>
      <c r="AK362" s="10">
        <v>0.73179699167716394</v>
      </c>
      <c r="AL362" s="10">
        <v>0.15971398314445817</v>
      </c>
      <c r="AM362" s="10">
        <v>3.23162889880549E-2</v>
      </c>
      <c r="AN362" s="10">
        <v>0.16893507902553523</v>
      </c>
      <c r="AO362" s="10" t="s">
        <v>114</v>
      </c>
      <c r="AP362" s="10">
        <v>0.14374448927402611</v>
      </c>
      <c r="AQ362" s="10" t="s">
        <v>114</v>
      </c>
      <c r="AR362" s="10">
        <v>0.1014899803163144</v>
      </c>
      <c r="AS362" s="10">
        <v>1.6275113673042383E-2</v>
      </c>
      <c r="AT362" s="10">
        <v>0.11498104141198839</v>
      </c>
      <c r="AU362" s="10">
        <v>2.0137630686518072E-2</v>
      </c>
      <c r="AV362" s="10">
        <v>0.80537443231866035</v>
      </c>
      <c r="AW362" s="10">
        <v>22.250487831874562</v>
      </c>
      <c r="AX362" s="10" t="s">
        <v>114</v>
      </c>
      <c r="AY362" s="10" t="s">
        <v>114</v>
      </c>
      <c r="AZ362" s="10">
        <v>48.550471144662993</v>
      </c>
      <c r="BA362" s="10">
        <v>43.8075956559193</v>
      </c>
      <c r="BB362" s="10">
        <v>45.163876192650555</v>
      </c>
      <c r="BC362" s="10" t="s">
        <v>114</v>
      </c>
      <c r="BD362" s="10">
        <v>44.695648771688916</v>
      </c>
    </row>
    <row r="363" spans="1:56" x14ac:dyDescent="0.3">
      <c r="A363" t="s">
        <v>448</v>
      </c>
      <c r="B363" t="s">
        <v>432</v>
      </c>
      <c r="C363" s="10">
        <v>7739.3155353837283</v>
      </c>
      <c r="D363" s="10">
        <v>4062.6621586518327</v>
      </c>
      <c r="E363" s="10">
        <v>618.5290702441647</v>
      </c>
      <c r="F363" s="10">
        <v>140113.70240885689</v>
      </c>
      <c r="G363" s="10">
        <v>231.72906066300078</v>
      </c>
      <c r="H363" s="10">
        <v>357463.1544573491</v>
      </c>
      <c r="I363" s="10">
        <v>381911.92303182418</v>
      </c>
      <c r="J363" s="10">
        <v>12.006332490475266</v>
      </c>
      <c r="K363" s="10">
        <v>37.735492876367388</v>
      </c>
      <c r="L363" s="10">
        <v>22.488096982424956</v>
      </c>
      <c r="M363" s="10">
        <v>753.39347630474026</v>
      </c>
      <c r="N363" s="10">
        <v>2274.3182940776696</v>
      </c>
      <c r="O363" s="10">
        <v>2276.5750613189812</v>
      </c>
      <c r="P363" s="10">
        <v>1.2647354930688937</v>
      </c>
      <c r="Q363" s="10">
        <v>9.4586162114383789</v>
      </c>
      <c r="R363" s="10">
        <v>32.474968175166637</v>
      </c>
      <c r="S363" s="10">
        <v>33.24375580697906</v>
      </c>
      <c r="T363" s="10">
        <v>96.808897333270465</v>
      </c>
      <c r="U363" s="10">
        <v>102.93695315427526</v>
      </c>
      <c r="V363" s="10">
        <v>10.895286733001695</v>
      </c>
      <c r="W363" s="10" t="s">
        <v>114</v>
      </c>
      <c r="X363" s="10">
        <v>0.40233922726011828</v>
      </c>
      <c r="Y363" s="10">
        <v>3467.8820349439579</v>
      </c>
      <c r="Z363" s="10">
        <v>11.59375477588458</v>
      </c>
      <c r="AA363" s="10">
        <v>1.9382493855007639</v>
      </c>
      <c r="AB363" s="10">
        <v>1.8991360964321342</v>
      </c>
      <c r="AC363" s="10" t="s">
        <v>114</v>
      </c>
      <c r="AD363" s="10" t="s">
        <v>114</v>
      </c>
      <c r="AE363" s="10">
        <v>0.94005192449223707</v>
      </c>
      <c r="AF363" s="10">
        <v>1.1360275756850381E-2</v>
      </c>
      <c r="AG363" s="10">
        <v>251.71160452838092</v>
      </c>
      <c r="AH363" s="10">
        <v>0.36183894771136521</v>
      </c>
      <c r="AI363" s="10">
        <v>1.0520262024676066</v>
      </c>
      <c r="AJ363" s="10">
        <v>7.681377519177246E-2</v>
      </c>
      <c r="AK363" s="10">
        <v>0.33978419603142718</v>
      </c>
      <c r="AL363" s="10">
        <v>7.2447494426674156E-2</v>
      </c>
      <c r="AM363" s="10">
        <v>1.9714214058343005E-2</v>
      </c>
      <c r="AN363" s="10">
        <v>8.5177508056790724E-2</v>
      </c>
      <c r="AO363" s="10" t="s">
        <v>114</v>
      </c>
      <c r="AP363" s="10">
        <v>6.6520626344739653E-2</v>
      </c>
      <c r="AQ363" s="10" t="s">
        <v>114</v>
      </c>
      <c r="AR363" s="10">
        <v>5.1368579918017993E-2</v>
      </c>
      <c r="AS363" s="10">
        <v>6.0849774789788966E-3</v>
      </c>
      <c r="AT363" s="10">
        <v>6.1297909923841119E-2</v>
      </c>
      <c r="AU363" s="10">
        <v>8.361530806333688E-3</v>
      </c>
      <c r="AV363" s="10">
        <v>3.2915406161523668</v>
      </c>
      <c r="AW363" s="10">
        <v>22.336230407574341</v>
      </c>
      <c r="AX363" s="10" t="s">
        <v>114</v>
      </c>
      <c r="AY363" s="10" t="s">
        <v>114</v>
      </c>
      <c r="AZ363" s="10">
        <v>37.888364236527508</v>
      </c>
      <c r="BA363" s="10">
        <v>34.070291695047509</v>
      </c>
      <c r="BB363" s="10">
        <v>35.2054358726567</v>
      </c>
      <c r="BC363" s="10">
        <v>0.65847111511001588</v>
      </c>
      <c r="BD363" s="10">
        <v>49.084321743320629</v>
      </c>
    </row>
    <row r="364" spans="1:56" x14ac:dyDescent="0.3">
      <c r="A364" t="s">
        <v>449</v>
      </c>
      <c r="B364" t="s">
        <v>432</v>
      </c>
      <c r="C364" s="10">
        <v>6192.4785544915703</v>
      </c>
      <c r="D364" s="10">
        <v>2194.6872567315413</v>
      </c>
      <c r="E364" s="10">
        <v>239.81495789394242</v>
      </c>
      <c r="F364" s="10">
        <v>150987.94732284642</v>
      </c>
      <c r="G364" s="10" t="s">
        <v>114</v>
      </c>
      <c r="H364" s="10">
        <v>365524.79682950501</v>
      </c>
      <c r="I364" s="10">
        <v>377271.98728851619</v>
      </c>
      <c r="J364" s="10" t="s">
        <v>114</v>
      </c>
      <c r="K364" s="10">
        <v>14.103046573094991</v>
      </c>
      <c r="L364" s="10">
        <v>10.459346831140399</v>
      </c>
      <c r="M364" s="10">
        <v>663.84847222313954</v>
      </c>
      <c r="N364" s="10">
        <v>593.6601431279264</v>
      </c>
      <c r="O364" s="10">
        <v>592.59713069757822</v>
      </c>
      <c r="P364" s="10">
        <v>2.5394419925176868</v>
      </c>
      <c r="Q364" s="10">
        <v>10.369412544175376</v>
      </c>
      <c r="R364" s="10">
        <v>18.585497843420239</v>
      </c>
      <c r="S364" s="10">
        <v>19.451085389628719</v>
      </c>
      <c r="T364" s="10">
        <v>110.0561503093147</v>
      </c>
      <c r="U364" s="10">
        <v>112.51308380421155</v>
      </c>
      <c r="V364" s="10">
        <v>13.203286091185163</v>
      </c>
      <c r="W364" s="10" t="s">
        <v>114</v>
      </c>
      <c r="X364" s="10" t="s">
        <v>114</v>
      </c>
      <c r="Y364" s="10">
        <v>1474.2953812384826</v>
      </c>
      <c r="Z364" s="10">
        <v>3.8639060508334064</v>
      </c>
      <c r="AA364" s="10">
        <v>1.4042920749188841</v>
      </c>
      <c r="AB364" s="10">
        <v>1.5363392502528257</v>
      </c>
      <c r="AC364" s="10" t="s">
        <v>114</v>
      </c>
      <c r="AD364" s="10" t="s">
        <v>114</v>
      </c>
      <c r="AE364" s="10">
        <v>1.2810663187712519</v>
      </c>
      <c r="AF364" s="10">
        <v>4.3133566422877776E-3</v>
      </c>
      <c r="AG364" s="10">
        <v>133.32607156380271</v>
      </c>
      <c r="AH364" s="10">
        <v>8.8146712890937312E-2</v>
      </c>
      <c r="AI364" s="10">
        <v>0.18541727077744247</v>
      </c>
      <c r="AJ364" s="10">
        <v>1.9535130678840967E-2</v>
      </c>
      <c r="AK364" s="10">
        <v>6.6508270224091517E-2</v>
      </c>
      <c r="AL364" s="10" t="s">
        <v>114</v>
      </c>
      <c r="AM364" s="10" t="s">
        <v>114</v>
      </c>
      <c r="AN364" s="10">
        <v>1.622090023056148E-2</v>
      </c>
      <c r="AO364" s="10" t="s">
        <v>114</v>
      </c>
      <c r="AP364" s="10">
        <v>1.5254319770400754E-2</v>
      </c>
      <c r="AQ364" s="10" t="s">
        <v>114</v>
      </c>
      <c r="AR364" s="10" t="s">
        <v>114</v>
      </c>
      <c r="AS364" s="10" t="s">
        <v>114</v>
      </c>
      <c r="AT364" s="10">
        <v>1.4277237575992148E-2</v>
      </c>
      <c r="AU364" s="10">
        <v>3.89153866161728E-3</v>
      </c>
      <c r="AV364" s="10">
        <v>0.93326498221887788</v>
      </c>
      <c r="AW364" s="10">
        <v>23.15706771779525</v>
      </c>
      <c r="AX364" s="10" t="s">
        <v>114</v>
      </c>
      <c r="AY364" s="10" t="s">
        <v>114</v>
      </c>
      <c r="AZ364" s="10">
        <v>26.08154876292474</v>
      </c>
      <c r="BA364" s="10">
        <v>23.644022394380205</v>
      </c>
      <c r="BB364" s="10">
        <v>24.191147838828734</v>
      </c>
      <c r="BC364" s="10" t="s">
        <v>114</v>
      </c>
      <c r="BD364" s="10">
        <v>26.739648043561289</v>
      </c>
    </row>
    <row r="365" spans="1:56" x14ac:dyDescent="0.3">
      <c r="A365" t="s">
        <v>450</v>
      </c>
      <c r="B365" t="s">
        <v>432</v>
      </c>
      <c r="C365" s="10">
        <v>5863.471721405167</v>
      </c>
      <c r="D365" s="10">
        <v>2564.3694787642921</v>
      </c>
      <c r="E365" s="10">
        <v>124.86370377255716</v>
      </c>
      <c r="F365" s="10">
        <v>143398.83713916337</v>
      </c>
      <c r="G365" s="10">
        <v>123.4921788598818</v>
      </c>
      <c r="H365" s="10">
        <v>365271.97917628358</v>
      </c>
      <c r="I365" s="10">
        <v>376917.86290962866</v>
      </c>
      <c r="J365" s="10">
        <v>6.2592115928097218</v>
      </c>
      <c r="K365" s="10">
        <v>12.228075619106011</v>
      </c>
      <c r="L365" s="10">
        <v>27.100765865236362</v>
      </c>
      <c r="M365" s="10">
        <v>734.18753525911757</v>
      </c>
      <c r="N365" s="10">
        <v>692.777050407307</v>
      </c>
      <c r="O365" s="10">
        <v>685.82513686513232</v>
      </c>
      <c r="P365" s="10">
        <v>0.9070883746706212</v>
      </c>
      <c r="Q365" s="10">
        <v>11.418186652023547</v>
      </c>
      <c r="R365" s="10">
        <v>13.647188234617712</v>
      </c>
      <c r="S365" s="10">
        <v>13.806843944881438</v>
      </c>
      <c r="T365" s="10">
        <v>106.77926802946475</v>
      </c>
      <c r="U365" s="10">
        <v>109.27115014701354</v>
      </c>
      <c r="V365" s="10">
        <v>8.2635758452565167</v>
      </c>
      <c r="W365" s="10" t="s">
        <v>114</v>
      </c>
      <c r="X365" s="10" t="s">
        <v>114</v>
      </c>
      <c r="Y365" s="10">
        <v>2272.9247190376354</v>
      </c>
      <c r="Z365" s="10">
        <v>5.2123104845049166</v>
      </c>
      <c r="AA365" s="10">
        <v>1.2295179948418291</v>
      </c>
      <c r="AB365" s="10">
        <v>1.0621535615904614</v>
      </c>
      <c r="AC365" s="10">
        <v>0.59826694730000851</v>
      </c>
      <c r="AD365" s="10" t="s">
        <v>114</v>
      </c>
      <c r="AE365" s="10">
        <v>1.2309817706054411</v>
      </c>
      <c r="AF365" s="10">
        <v>1.2961622266884454E-3</v>
      </c>
      <c r="AG365" s="10">
        <v>111.34953107682705</v>
      </c>
      <c r="AH365" s="10">
        <v>5.6738396984550833E-2</v>
      </c>
      <c r="AI365" s="10" t="s">
        <v>114</v>
      </c>
      <c r="AJ365" s="10" t="s">
        <v>114</v>
      </c>
      <c r="AK365" s="10">
        <v>2.5969558663897763E-2</v>
      </c>
      <c r="AL365" s="10" t="s">
        <v>114</v>
      </c>
      <c r="AM365" s="10" t="s">
        <v>114</v>
      </c>
      <c r="AN365" s="10">
        <v>9.0999890863979107E-3</v>
      </c>
      <c r="AO365" s="10" t="s">
        <v>114</v>
      </c>
      <c r="AP365" s="10">
        <v>1.724372982433248E-2</v>
      </c>
      <c r="AQ365" s="10" t="s">
        <v>114</v>
      </c>
      <c r="AR365" s="10">
        <v>1.7455151327290683E-2</v>
      </c>
      <c r="AS365" s="10">
        <v>3.0613430881223751E-3</v>
      </c>
      <c r="AT365" s="10">
        <v>2.4569207588153404E-2</v>
      </c>
      <c r="AU365" s="10">
        <v>5.1994903048892772E-3</v>
      </c>
      <c r="AV365" s="10">
        <v>0.86156620318025934</v>
      </c>
      <c r="AW365" s="10">
        <v>21.63146948974471</v>
      </c>
      <c r="AX365" s="10" t="s">
        <v>114</v>
      </c>
      <c r="AY365" s="10" t="s">
        <v>114</v>
      </c>
      <c r="AZ365" s="10">
        <v>39.385337379463749</v>
      </c>
      <c r="BA365" s="10">
        <v>35.678203869740052</v>
      </c>
      <c r="BB365" s="10">
        <v>36.532242607352721</v>
      </c>
      <c r="BC365" s="10" t="s">
        <v>114</v>
      </c>
      <c r="BD365" s="10">
        <v>58.083217467244559</v>
      </c>
    </row>
    <row r="366" spans="1:56" x14ac:dyDescent="0.3">
      <c r="A366" t="s">
        <v>451</v>
      </c>
      <c r="B366" t="s">
        <v>432</v>
      </c>
      <c r="C366" s="10">
        <v>6527.8353564022991</v>
      </c>
      <c r="D366" s="10">
        <v>3136.8074023398972</v>
      </c>
      <c r="E366" s="10">
        <v>152.57366027406752</v>
      </c>
      <c r="F366" s="10">
        <v>143880.74618185492</v>
      </c>
      <c r="G366" s="10" t="s">
        <v>114</v>
      </c>
      <c r="H366" s="10">
        <v>376160.5695084582</v>
      </c>
      <c r="I366" s="10">
        <v>389530.02802354906</v>
      </c>
      <c r="J366" s="10" t="s">
        <v>114</v>
      </c>
      <c r="K366" s="10">
        <v>10.899448964077576</v>
      </c>
      <c r="L366" s="10">
        <v>26.092761736723265</v>
      </c>
      <c r="M366" s="10">
        <v>829.90834613635047</v>
      </c>
      <c r="N366" s="10">
        <v>1225.9412118141811</v>
      </c>
      <c r="O366" s="10">
        <v>1248.2102565290506</v>
      </c>
      <c r="P366" s="10">
        <v>1.5275842053947126</v>
      </c>
      <c r="Q366" s="10">
        <v>10.230523269268517</v>
      </c>
      <c r="R366" s="10">
        <v>9.2058346836384271</v>
      </c>
      <c r="S366" s="10">
        <v>9.6121242648095624</v>
      </c>
      <c r="T366" s="10">
        <v>103.65128371305093</v>
      </c>
      <c r="U366" s="10">
        <v>107.1073177250089</v>
      </c>
      <c r="V366" s="10">
        <v>10.174094389712455</v>
      </c>
      <c r="W366" s="10" t="s">
        <v>114</v>
      </c>
      <c r="X366" s="10" t="s">
        <v>114</v>
      </c>
      <c r="Y366" s="10">
        <v>2326.8772516161116</v>
      </c>
      <c r="Z366" s="10">
        <v>4.5064116290873972</v>
      </c>
      <c r="AA366" s="10">
        <v>1.1586825086288877</v>
      </c>
      <c r="AB366" s="10">
        <v>1.087830523022153</v>
      </c>
      <c r="AC366" s="10" t="s">
        <v>114</v>
      </c>
      <c r="AD366" s="10" t="s">
        <v>114</v>
      </c>
      <c r="AE366" s="10">
        <v>1.3756877403716334</v>
      </c>
      <c r="AF366" s="10">
        <v>3.503319219028707E-3</v>
      </c>
      <c r="AG366" s="10">
        <v>162.13960704175042</v>
      </c>
      <c r="AH366" s="10">
        <v>3.5641042668624091E-2</v>
      </c>
      <c r="AI366" s="10" t="s">
        <v>114</v>
      </c>
      <c r="AJ366" s="10" t="s">
        <v>114</v>
      </c>
      <c r="AK366" s="10">
        <v>2.6425860748187115E-2</v>
      </c>
      <c r="AL366" s="10" t="s">
        <v>114</v>
      </c>
      <c r="AM366" s="10" t="s">
        <v>114</v>
      </c>
      <c r="AN366" s="10" t="s">
        <v>114</v>
      </c>
      <c r="AO366" s="10" t="s">
        <v>114</v>
      </c>
      <c r="AP366" s="10">
        <v>9.1499493209694603E-3</v>
      </c>
      <c r="AQ366" s="10" t="s">
        <v>114</v>
      </c>
      <c r="AR366" s="10" t="s">
        <v>114</v>
      </c>
      <c r="AS366" s="10" t="s">
        <v>114</v>
      </c>
      <c r="AT366" s="10" t="s">
        <v>114</v>
      </c>
      <c r="AU366" s="10" t="s">
        <v>114</v>
      </c>
      <c r="AV366" s="10">
        <v>0.64866955234453427</v>
      </c>
      <c r="AW366" s="10">
        <v>21.903068990969864</v>
      </c>
      <c r="AX366" s="10" t="s">
        <v>114</v>
      </c>
      <c r="AY366" s="10" t="s">
        <v>114</v>
      </c>
      <c r="AZ366" s="10">
        <v>15.769263642131454</v>
      </c>
      <c r="BA366" s="10">
        <v>14.28405982817084</v>
      </c>
      <c r="BB366" s="10">
        <v>14.761212052010899</v>
      </c>
      <c r="BC366" s="10" t="s">
        <v>114</v>
      </c>
      <c r="BD366" s="10">
        <v>38.851582949464202</v>
      </c>
    </row>
    <row r="367" spans="1:56" x14ac:dyDescent="0.3">
      <c r="A367" t="s">
        <v>452</v>
      </c>
      <c r="B367" t="s">
        <v>432</v>
      </c>
      <c r="C367" s="10">
        <v>2870.4977788417559</v>
      </c>
      <c r="D367" s="10">
        <v>1613.0393290229822</v>
      </c>
      <c r="E367" s="10">
        <v>563.12722059654152</v>
      </c>
      <c r="F367" s="10">
        <v>111900.25565442031</v>
      </c>
      <c r="G367" s="10">
        <v>215.10281116097093</v>
      </c>
      <c r="H367" s="10">
        <v>275690.18054032483</v>
      </c>
      <c r="I367" s="10">
        <v>284215.21591258858</v>
      </c>
      <c r="J367" s="10">
        <v>16.393819150519199</v>
      </c>
      <c r="K367" s="10">
        <v>10.23293497881409</v>
      </c>
      <c r="L367" s="10">
        <v>9.2442192857953351</v>
      </c>
      <c r="M367" s="10">
        <v>391.00693665974245</v>
      </c>
      <c r="N367" s="10">
        <v>947.77595835119973</v>
      </c>
      <c r="O367" s="10">
        <v>957.88316610725349</v>
      </c>
      <c r="P367" s="10">
        <v>1.8626800678297641</v>
      </c>
      <c r="Q367" s="10">
        <v>17.801134751916507</v>
      </c>
      <c r="R367" s="10">
        <v>16.781821988606083</v>
      </c>
      <c r="S367" s="10">
        <v>16.937171532585193</v>
      </c>
      <c r="T367" s="10">
        <v>82.615620608905232</v>
      </c>
      <c r="U367" s="10">
        <v>86.203951158884607</v>
      </c>
      <c r="V367" s="10">
        <v>3.9929650848468192</v>
      </c>
      <c r="W367" s="10" t="s">
        <v>114</v>
      </c>
      <c r="X367" s="10">
        <v>0.28222102868599325</v>
      </c>
      <c r="Y367" s="10">
        <v>1388.7921578255825</v>
      </c>
      <c r="Z367" s="10">
        <v>3.6820806369783963</v>
      </c>
      <c r="AA367" s="10">
        <v>0.84840180816161204</v>
      </c>
      <c r="AB367" s="10">
        <v>0.59535445698215705</v>
      </c>
      <c r="AC367" s="10">
        <v>0.14537653904285927</v>
      </c>
      <c r="AD367" s="10" t="s">
        <v>114</v>
      </c>
      <c r="AE367" s="10">
        <v>0.64893363153336781</v>
      </c>
      <c r="AF367" s="10">
        <v>5.2392745104515547E-3</v>
      </c>
      <c r="AG367" s="10">
        <v>112.87198230517339</v>
      </c>
      <c r="AH367" s="10">
        <v>0.67263765510097884</v>
      </c>
      <c r="AI367" s="10">
        <v>1.5427212946689361</v>
      </c>
      <c r="AJ367" s="10">
        <v>0.11716311677750076</v>
      </c>
      <c r="AK367" s="10">
        <v>0.51860404017559747</v>
      </c>
      <c r="AL367" s="10">
        <v>0.11447362031307269</v>
      </c>
      <c r="AM367" s="10">
        <v>3.6464596087129424E-2</v>
      </c>
      <c r="AN367" s="10">
        <v>0.13839400736656116</v>
      </c>
      <c r="AO367" s="10" t="s">
        <v>114</v>
      </c>
      <c r="AP367" s="10">
        <v>0.15797359776161921</v>
      </c>
      <c r="AQ367" s="10" t="s">
        <v>114</v>
      </c>
      <c r="AR367" s="10">
        <v>0.12882275871634905</v>
      </c>
      <c r="AS367" s="10">
        <v>1.9284253380826909E-2</v>
      </c>
      <c r="AT367" s="10">
        <v>0.14299971926037136</v>
      </c>
      <c r="AU367" s="10">
        <v>2.1872026045127144E-2</v>
      </c>
      <c r="AV367" s="10">
        <v>0.40132358502858884</v>
      </c>
      <c r="AW367" s="10">
        <v>23.289606652104279</v>
      </c>
      <c r="AX367" s="10" t="s">
        <v>114</v>
      </c>
      <c r="AY367" s="10" t="s">
        <v>114</v>
      </c>
      <c r="AZ367" s="10">
        <v>28.162044776748033</v>
      </c>
      <c r="BA367" s="10">
        <v>25.409671666756818</v>
      </c>
      <c r="BB367" s="10">
        <v>26.093801643603701</v>
      </c>
      <c r="BC367" s="10" t="s">
        <v>114</v>
      </c>
      <c r="BD367" s="10">
        <v>31.943958001141514</v>
      </c>
    </row>
    <row r="368" spans="1:56" x14ac:dyDescent="0.3">
      <c r="A368" t="s">
        <v>453</v>
      </c>
      <c r="B368" t="s">
        <v>432</v>
      </c>
      <c r="C368" s="10">
        <v>2490.6814178201407</v>
      </c>
      <c r="D368" s="10">
        <v>1817.1634083055701</v>
      </c>
      <c r="E368" s="10">
        <v>177.3471247381421</v>
      </c>
      <c r="F368" s="10">
        <v>164594.08532598132</v>
      </c>
      <c r="G368" s="10">
        <v>317.36782254622312</v>
      </c>
      <c r="H368" s="10">
        <v>400733.85835257557</v>
      </c>
      <c r="I368" s="10">
        <v>403953.78184870805</v>
      </c>
      <c r="J368" s="10" t="s">
        <v>114</v>
      </c>
      <c r="K368" s="10">
        <v>13.900860016438598</v>
      </c>
      <c r="L368" s="10">
        <v>12.715487325071095</v>
      </c>
      <c r="M368" s="10">
        <v>355.38135302162311</v>
      </c>
      <c r="N368" s="10">
        <v>389.40153040425946</v>
      </c>
      <c r="O368" s="10">
        <v>402.34301597223794</v>
      </c>
      <c r="P368" s="10">
        <v>0.73420366811618398</v>
      </c>
      <c r="Q368" s="10">
        <v>4.8704755346993425</v>
      </c>
      <c r="R368" s="10">
        <v>13.31951785725585</v>
      </c>
      <c r="S368" s="10">
        <v>13.446731402315105</v>
      </c>
      <c r="T368" s="10">
        <v>135.71422937630612</v>
      </c>
      <c r="U368" s="10">
        <v>131.4536488032046</v>
      </c>
      <c r="V368" s="10">
        <v>7.0661696247189489</v>
      </c>
      <c r="W368" s="10" t="s">
        <v>114</v>
      </c>
      <c r="X368" s="10">
        <v>0.40486183512263813</v>
      </c>
      <c r="Y368" s="10">
        <v>1291.0651822690079</v>
      </c>
      <c r="Z368" s="10">
        <v>2.7377315926834922</v>
      </c>
      <c r="AA368" s="10">
        <v>1.5557513116650357</v>
      </c>
      <c r="AB368" s="10">
        <v>1.4189972609770483</v>
      </c>
      <c r="AC368" s="10">
        <v>8.4621793504110129E-2</v>
      </c>
      <c r="AD368" s="10" t="s">
        <v>114</v>
      </c>
      <c r="AE368" s="10">
        <v>0.32406638157331707</v>
      </c>
      <c r="AF368" s="10">
        <v>3.4254770301207381E-3</v>
      </c>
      <c r="AG368" s="10">
        <v>94.5641120463102</v>
      </c>
      <c r="AH368" s="10">
        <v>0.3729775172670447</v>
      </c>
      <c r="AI368" s="10">
        <v>0.86324545753296278</v>
      </c>
      <c r="AJ368" s="10">
        <v>6.2911884439293589E-2</v>
      </c>
      <c r="AK368" s="10">
        <v>0.27096890423383224</v>
      </c>
      <c r="AL368" s="10">
        <v>5.3872142699557451E-2</v>
      </c>
      <c r="AM368" s="10">
        <v>1.3776533396608068E-2</v>
      </c>
      <c r="AN368" s="10">
        <v>6.6580629292178409E-2</v>
      </c>
      <c r="AO368" s="10" t="s">
        <v>114</v>
      </c>
      <c r="AP368" s="10">
        <v>7.7743221661141643E-2</v>
      </c>
      <c r="AQ368" s="10" t="s">
        <v>114</v>
      </c>
      <c r="AR368" s="10">
        <v>6.2130971052993651E-2</v>
      </c>
      <c r="AS368" s="10">
        <v>7.2300253247737974E-3</v>
      </c>
      <c r="AT368" s="10">
        <v>7.3022341162215149E-2</v>
      </c>
      <c r="AU368" s="10">
        <v>9.1190215048909118E-3</v>
      </c>
      <c r="AV368" s="10">
        <v>0.3317836286069637</v>
      </c>
      <c r="AW368" s="10">
        <v>21.462790326817597</v>
      </c>
      <c r="AX368" s="10" t="s">
        <v>114</v>
      </c>
      <c r="AY368" s="10" t="s">
        <v>114</v>
      </c>
      <c r="AZ368" s="10">
        <v>4.5842946720264539</v>
      </c>
      <c r="BA368" s="10">
        <v>4.1367062534135561</v>
      </c>
      <c r="BB368" s="10">
        <v>4.2635871963128897</v>
      </c>
      <c r="BC368" s="10" t="s">
        <v>114</v>
      </c>
      <c r="BD368" s="10">
        <v>22.005042792232427</v>
      </c>
    </row>
    <row r="369" spans="1:56" x14ac:dyDescent="0.3">
      <c r="A369" t="s">
        <v>454</v>
      </c>
      <c r="B369" t="s">
        <v>432</v>
      </c>
      <c r="C369" s="10">
        <v>6269.0930420210598</v>
      </c>
      <c r="D369" s="10">
        <v>2946.5480095773419</v>
      </c>
      <c r="E369" s="10">
        <v>935.39349779659858</v>
      </c>
      <c r="F369" s="10">
        <v>157783.15736626289</v>
      </c>
      <c r="G369" s="10">
        <v>518.2245180138475</v>
      </c>
      <c r="H369" s="10">
        <v>396792.47609243979</v>
      </c>
      <c r="I369" s="10">
        <v>411411.56579785683</v>
      </c>
      <c r="J369" s="10">
        <v>23.674299026960849</v>
      </c>
      <c r="K369" s="10">
        <v>13.179484672071732</v>
      </c>
      <c r="L369" s="10">
        <v>12.729844066679451</v>
      </c>
      <c r="M369" s="10">
        <v>459.29612207906985</v>
      </c>
      <c r="N369" s="10">
        <v>1080.0693923079471</v>
      </c>
      <c r="O369" s="10">
        <v>1094.4818066812834</v>
      </c>
      <c r="P369" s="10">
        <v>2.3883758065316032</v>
      </c>
      <c r="Q369" s="10">
        <v>12.881953757084174</v>
      </c>
      <c r="R369" s="10">
        <v>11.702054894874598</v>
      </c>
      <c r="S369" s="10">
        <v>11.364243625670808</v>
      </c>
      <c r="T369" s="10">
        <v>105.87889618566186</v>
      </c>
      <c r="U369" s="10">
        <v>107.73431702114226</v>
      </c>
      <c r="V369" s="10">
        <v>5.9832724090647744</v>
      </c>
      <c r="W369" s="10" t="s">
        <v>114</v>
      </c>
      <c r="X369" s="10">
        <v>0.9607941061644113</v>
      </c>
      <c r="Y369" s="10">
        <v>2392.4016007582036</v>
      </c>
      <c r="Z369" s="10">
        <v>9.4042070076011282</v>
      </c>
      <c r="AA369" s="10">
        <v>2.0970121107857009</v>
      </c>
      <c r="AB369" s="10">
        <v>2.0826049681345875</v>
      </c>
      <c r="AC369" s="10" t="s">
        <v>114</v>
      </c>
      <c r="AD369" s="10" t="s">
        <v>114</v>
      </c>
      <c r="AE369" s="10">
        <v>0.52050134217342869</v>
      </c>
      <c r="AF369" s="10">
        <v>1.1608646403252085E-2</v>
      </c>
      <c r="AG369" s="10">
        <v>138.34984132204059</v>
      </c>
      <c r="AH369" s="10">
        <v>0.38829807447235415</v>
      </c>
      <c r="AI369" s="10">
        <v>0.82090744367904434</v>
      </c>
      <c r="AJ369" s="10">
        <v>7.8357817305799424E-2</v>
      </c>
      <c r="AK369" s="10">
        <v>0.37700060430146892</v>
      </c>
      <c r="AL369" s="10">
        <v>7.7299546319929122E-2</v>
      </c>
      <c r="AM369" s="10">
        <v>1.3536839142037332E-2</v>
      </c>
      <c r="AN369" s="10">
        <v>6.7346989152591991E-2</v>
      </c>
      <c r="AO369" s="10" t="s">
        <v>114</v>
      </c>
      <c r="AP369" s="10">
        <v>7.2236320652855943E-2</v>
      </c>
      <c r="AQ369" s="10" t="s">
        <v>114</v>
      </c>
      <c r="AR369" s="10">
        <v>2.9994241277215387E-2</v>
      </c>
      <c r="AS369" s="10">
        <v>6.3539117947169679E-3</v>
      </c>
      <c r="AT369" s="10">
        <v>4.9043358076800776E-2</v>
      </c>
      <c r="AU369" s="10">
        <v>7.4366710036764799E-3</v>
      </c>
      <c r="AV369" s="10">
        <v>2.7008164100383345</v>
      </c>
      <c r="AW369" s="10">
        <v>21.93411544436729</v>
      </c>
      <c r="AX369" s="10" t="s">
        <v>114</v>
      </c>
      <c r="AY369" s="10" t="s">
        <v>114</v>
      </c>
      <c r="AZ369" s="10">
        <v>71.163644400322553</v>
      </c>
      <c r="BA369" s="10">
        <v>64.586188967904832</v>
      </c>
      <c r="BB369" s="10">
        <v>66.221216146895202</v>
      </c>
      <c r="BC369" s="10">
        <v>0.60202883661079554</v>
      </c>
      <c r="BD369" s="10">
        <v>39.741612751189031</v>
      </c>
    </row>
    <row r="370" spans="1:56" x14ac:dyDescent="0.3">
      <c r="A370" t="s">
        <v>455</v>
      </c>
      <c r="B370" t="s">
        <v>432</v>
      </c>
      <c r="C370" s="10">
        <v>4414.8762535937876</v>
      </c>
      <c r="D370" s="10">
        <v>2050.93975700905</v>
      </c>
      <c r="E370" s="10">
        <v>275.8072019130172</v>
      </c>
      <c r="F370" s="10">
        <v>162280.10071962321</v>
      </c>
      <c r="G370" s="10">
        <v>324.70259655732315</v>
      </c>
      <c r="H370" s="10">
        <v>401611.44524588279</v>
      </c>
      <c r="I370" s="10">
        <v>410660.74116693885</v>
      </c>
      <c r="J370" s="10">
        <v>9.5614465169075409</v>
      </c>
      <c r="K370" s="10">
        <v>21.168323258544362</v>
      </c>
      <c r="L370" s="10">
        <v>37.113729213279562</v>
      </c>
      <c r="M370" s="10">
        <v>230.10868197747564</v>
      </c>
      <c r="N370" s="10">
        <v>973.64937735756848</v>
      </c>
      <c r="O370" s="10">
        <v>991.76907812297895</v>
      </c>
      <c r="P370" s="10">
        <v>0.28332492477275334</v>
      </c>
      <c r="Q370" s="10">
        <v>6.7265995510408976</v>
      </c>
      <c r="R370" s="10">
        <v>12.683369192600306</v>
      </c>
      <c r="S370" s="10">
        <v>12.614183304711862</v>
      </c>
      <c r="T370" s="10">
        <v>156.34719928089987</v>
      </c>
      <c r="U370" s="10">
        <v>157.29557127947319</v>
      </c>
      <c r="V370" s="10">
        <v>5.6349837469063182</v>
      </c>
      <c r="W370" s="10" t="s">
        <v>114</v>
      </c>
      <c r="X370" s="10">
        <v>0.45117147255838747</v>
      </c>
      <c r="Y370" s="10">
        <v>1821.9205278006307</v>
      </c>
      <c r="Z370" s="10">
        <v>5.1610487203616033</v>
      </c>
      <c r="AA370" s="10">
        <v>1.4228151195138756</v>
      </c>
      <c r="AB370" s="10">
        <v>1.3299716006413502</v>
      </c>
      <c r="AC370" s="10">
        <v>0.23680117771929338</v>
      </c>
      <c r="AD370" s="10" t="s">
        <v>114</v>
      </c>
      <c r="AE370" s="10">
        <v>0.77191121305767663</v>
      </c>
      <c r="AF370" s="10">
        <v>6.0606098161390537E-3</v>
      </c>
      <c r="AG370" s="10">
        <v>127.94690806290983</v>
      </c>
      <c r="AH370" s="10">
        <v>0.68951110206071098</v>
      </c>
      <c r="AI370" s="10">
        <v>1.3001248396544103</v>
      </c>
      <c r="AJ370" s="10">
        <v>0.11680320206299766</v>
      </c>
      <c r="AK370" s="10">
        <v>0.55717641989915179</v>
      </c>
      <c r="AL370" s="10">
        <v>8.4822283145846805E-2</v>
      </c>
      <c r="AM370" s="10">
        <v>3.3095799235932144E-2</v>
      </c>
      <c r="AN370" s="10">
        <v>0.12063629958914578</v>
      </c>
      <c r="AO370" s="10" t="s">
        <v>114</v>
      </c>
      <c r="AP370" s="10">
        <v>0.12293429195321198</v>
      </c>
      <c r="AQ370" s="10" t="s">
        <v>114</v>
      </c>
      <c r="AR370" s="10">
        <v>0.11738191679158949</v>
      </c>
      <c r="AS370" s="10">
        <v>1.690967902761965E-2</v>
      </c>
      <c r="AT370" s="10">
        <v>0.13123069802112744</v>
      </c>
      <c r="AU370" s="10">
        <v>2.4385350387984409E-2</v>
      </c>
      <c r="AV370" s="10">
        <v>1.2155843933067287</v>
      </c>
      <c r="AW370" s="10">
        <v>22.030658749518349</v>
      </c>
      <c r="AX370" s="10" t="s">
        <v>114</v>
      </c>
      <c r="AY370" s="10" t="s">
        <v>114</v>
      </c>
      <c r="AZ370" s="10">
        <v>144.01149284435184</v>
      </c>
      <c r="BA370" s="10">
        <v>129.70920928831916</v>
      </c>
      <c r="BB370" s="10">
        <v>133.77623951273344</v>
      </c>
      <c r="BC370" s="10">
        <v>0.16454733213158051</v>
      </c>
      <c r="BD370" s="10">
        <v>42.425549196187809</v>
      </c>
    </row>
    <row r="371" spans="1:56" x14ac:dyDescent="0.3">
      <c r="A371" t="s">
        <v>456</v>
      </c>
      <c r="B371" t="s">
        <v>432</v>
      </c>
      <c r="C371" s="10">
        <v>5226.7184492748129</v>
      </c>
      <c r="D371" s="10">
        <v>3655.4845092964292</v>
      </c>
      <c r="E371" s="10">
        <v>699.34011914678001</v>
      </c>
      <c r="F371" s="10">
        <v>180668.73928234942</v>
      </c>
      <c r="G371" s="10">
        <v>491.0147892917621</v>
      </c>
      <c r="H371" s="10">
        <v>460302.94718612306</v>
      </c>
      <c r="I371" s="10">
        <v>476773.34722252766</v>
      </c>
      <c r="J371" s="10">
        <v>20.975561616111566</v>
      </c>
      <c r="K371" s="10">
        <v>19.737781285277045</v>
      </c>
      <c r="L371" s="10">
        <v>20.431061821215273</v>
      </c>
      <c r="M371" s="10">
        <v>797.93954146721046</v>
      </c>
      <c r="N371" s="10">
        <v>851.85073325333258</v>
      </c>
      <c r="O371" s="10">
        <v>866.4379240818638</v>
      </c>
      <c r="P371" s="10">
        <v>0.52277461146845572</v>
      </c>
      <c r="Q371" s="10">
        <v>8.2065278416005736</v>
      </c>
      <c r="R371" s="10">
        <v>21.104625990627429</v>
      </c>
      <c r="S371" s="10">
        <v>21.292110098643331</v>
      </c>
      <c r="T371" s="10">
        <v>133.96340992959009</v>
      </c>
      <c r="U371" s="10">
        <v>138.22962622816095</v>
      </c>
      <c r="V371" s="10">
        <v>10.220417555650601</v>
      </c>
      <c r="W371" s="10" t="s">
        <v>114</v>
      </c>
      <c r="X371" s="10">
        <v>0.68820249986168169</v>
      </c>
      <c r="Y371" s="10">
        <v>2906.4744754872654</v>
      </c>
      <c r="Z371" s="10">
        <v>6.7539089978190692</v>
      </c>
      <c r="AA371" s="10">
        <v>1.0892769537751215</v>
      </c>
      <c r="AB371" s="10">
        <v>1.1299878574418685</v>
      </c>
      <c r="AC371" s="10">
        <v>0.15849681838277635</v>
      </c>
      <c r="AD371" s="10" t="s">
        <v>114</v>
      </c>
      <c r="AE371" s="10">
        <v>0.39668190062622882</v>
      </c>
      <c r="AF371" s="10">
        <v>4.03675313021447E-3</v>
      </c>
      <c r="AG371" s="10">
        <v>228.49855563540595</v>
      </c>
      <c r="AH371" s="10">
        <v>0.5523786759432544</v>
      </c>
      <c r="AI371" s="10">
        <v>1.3808818737893687</v>
      </c>
      <c r="AJ371" s="10">
        <v>0.12673233226698227</v>
      </c>
      <c r="AK371" s="10">
        <v>0.59785588831108949</v>
      </c>
      <c r="AL371" s="10">
        <v>0.12229128682283257</v>
      </c>
      <c r="AM371" s="10">
        <v>3.5103024502781924E-2</v>
      </c>
      <c r="AN371" s="10">
        <v>0.12198639570090281</v>
      </c>
      <c r="AO371" s="10" t="s">
        <v>114</v>
      </c>
      <c r="AP371" s="10">
        <v>0.11913318075544667</v>
      </c>
      <c r="AQ371" s="10" t="s">
        <v>114</v>
      </c>
      <c r="AR371" s="10">
        <v>7.8048107071977124E-2</v>
      </c>
      <c r="AS371" s="10">
        <v>1.0615816550603748E-2</v>
      </c>
      <c r="AT371" s="10">
        <v>7.0245761395136302E-2</v>
      </c>
      <c r="AU371" s="10">
        <v>1.0793424437398365E-2</v>
      </c>
      <c r="AV371" s="10">
        <v>1.152802909212405</v>
      </c>
      <c r="AW371" s="10">
        <v>22.960530928748074</v>
      </c>
      <c r="AX371" s="10" t="s">
        <v>114</v>
      </c>
      <c r="AY371" s="10" t="s">
        <v>114</v>
      </c>
      <c r="AZ371" s="10">
        <v>23.697746779515072</v>
      </c>
      <c r="BA371" s="10">
        <v>21.316148912904367</v>
      </c>
      <c r="BB371" s="10">
        <v>21.981882745262883</v>
      </c>
      <c r="BC371" s="10">
        <v>0.12774873604449957</v>
      </c>
      <c r="BD371" s="10">
        <v>24.763599014268557</v>
      </c>
    </row>
    <row r="372" spans="1:56" x14ac:dyDescent="0.3">
      <c r="A372" t="s">
        <v>457</v>
      </c>
      <c r="B372" t="s">
        <v>432</v>
      </c>
      <c r="C372" s="10">
        <v>5742.2365670255022</v>
      </c>
      <c r="D372" s="10">
        <v>2932.1539560076944</v>
      </c>
      <c r="E372" s="10">
        <v>119.11979041153357</v>
      </c>
      <c r="F372" s="10">
        <v>141913.67783918421</v>
      </c>
      <c r="G372" s="10">
        <v>331.20793651930541</v>
      </c>
      <c r="H372" s="10">
        <v>361525.57178887178</v>
      </c>
      <c r="I372" s="10">
        <v>376244.98352824862</v>
      </c>
      <c r="J372" s="10" t="s">
        <v>114</v>
      </c>
      <c r="K372" s="10">
        <v>14.189990666015579</v>
      </c>
      <c r="L372" s="10">
        <v>26.778314332894617</v>
      </c>
      <c r="M372" s="10">
        <v>742.8312319265425</v>
      </c>
      <c r="N372" s="10">
        <v>1013.3196215497986</v>
      </c>
      <c r="O372" s="10">
        <v>1020.342320998542</v>
      </c>
      <c r="P372" s="10">
        <v>1.3132727819502761</v>
      </c>
      <c r="Q372" s="10">
        <v>7.6289017260952923</v>
      </c>
      <c r="R372" s="10">
        <v>16.520554823151276</v>
      </c>
      <c r="S372" s="10">
        <v>16.376386944512458</v>
      </c>
      <c r="T372" s="10">
        <v>129.33122966059892</v>
      </c>
      <c r="U372" s="10">
        <v>136.27682910152174</v>
      </c>
      <c r="V372" s="10">
        <v>8.7450253620989713</v>
      </c>
      <c r="W372" s="10" t="s">
        <v>114</v>
      </c>
      <c r="X372" s="10">
        <v>0.50918696061842983</v>
      </c>
      <c r="Y372" s="10">
        <v>2376.1284228023505</v>
      </c>
      <c r="Z372" s="10">
        <v>3.6204816524801711</v>
      </c>
      <c r="AA372" s="10">
        <v>0.75828812402611967</v>
      </c>
      <c r="AB372" s="10">
        <v>0.70823726515354402</v>
      </c>
      <c r="AC372" s="10" t="s">
        <v>114</v>
      </c>
      <c r="AD372" s="10" t="s">
        <v>114</v>
      </c>
      <c r="AE372" s="10">
        <v>0.65023704996709508</v>
      </c>
      <c r="AF372" s="10">
        <v>2.9396089086352432E-3</v>
      </c>
      <c r="AG372" s="10">
        <v>221.25401974986016</v>
      </c>
      <c r="AH372" s="10">
        <v>4.7131258095435176E-2</v>
      </c>
      <c r="AI372" s="10">
        <v>9.3974631226399499E-2</v>
      </c>
      <c r="AJ372" s="10">
        <v>1.2070842125803003E-2</v>
      </c>
      <c r="AK372" s="10">
        <v>5.7360948787995046E-2</v>
      </c>
      <c r="AL372" s="10" t="s">
        <v>114</v>
      </c>
      <c r="AM372" s="10" t="s">
        <v>114</v>
      </c>
      <c r="AN372" s="10">
        <v>1.6344506615285383E-2</v>
      </c>
      <c r="AO372" s="10" t="s">
        <v>114</v>
      </c>
      <c r="AP372" s="10">
        <v>1.3069066922456971E-2</v>
      </c>
      <c r="AQ372" s="10" t="s">
        <v>114</v>
      </c>
      <c r="AR372" s="10" t="s">
        <v>114</v>
      </c>
      <c r="AS372" s="10" t="s">
        <v>114</v>
      </c>
      <c r="AT372" s="10" t="s">
        <v>114</v>
      </c>
      <c r="AU372" s="10" t="s">
        <v>114</v>
      </c>
      <c r="AV372" s="10">
        <v>0.49392063560527799</v>
      </c>
      <c r="AW372" s="10">
        <v>22.664638530196225</v>
      </c>
      <c r="AX372" s="10" t="s">
        <v>114</v>
      </c>
      <c r="AY372" s="10" t="s">
        <v>114</v>
      </c>
      <c r="AZ372" s="10">
        <v>30.390810733697343</v>
      </c>
      <c r="BA372" s="10">
        <v>27.100287485192073</v>
      </c>
      <c r="BB372" s="10">
        <v>28.112151849474252</v>
      </c>
      <c r="BC372" s="10" t="s">
        <v>114</v>
      </c>
      <c r="BD372" s="10">
        <v>37.333537000347761</v>
      </c>
    </row>
    <row r="373" spans="1:56" x14ac:dyDescent="0.3">
      <c r="A373" t="s">
        <v>458</v>
      </c>
      <c r="B373" t="s">
        <v>432</v>
      </c>
      <c r="C373" s="10">
        <v>6802.2191241284372</v>
      </c>
      <c r="D373" s="10">
        <v>3649.8116583272258</v>
      </c>
      <c r="E373" s="10">
        <v>220.4143773737041</v>
      </c>
      <c r="F373" s="10">
        <v>177641.9645811482</v>
      </c>
      <c r="G373" s="10">
        <v>328.3776365812634</v>
      </c>
      <c r="H373" s="10">
        <v>454254.14388947695</v>
      </c>
      <c r="I373" s="10">
        <v>472088.21019507607</v>
      </c>
      <c r="J373" s="10">
        <v>6.5930362532515971</v>
      </c>
      <c r="K373" s="10">
        <v>13.806367648432994</v>
      </c>
      <c r="L373" s="10">
        <v>24.444508555204049</v>
      </c>
      <c r="M373" s="10">
        <v>219.56903037066178</v>
      </c>
      <c r="N373" s="10">
        <v>492.99633767489127</v>
      </c>
      <c r="O373" s="10">
        <v>507.79333444524019</v>
      </c>
      <c r="P373" s="10">
        <v>0.28156377245771802</v>
      </c>
      <c r="Q373" s="10">
        <v>6.3606898190998891</v>
      </c>
      <c r="R373" s="10">
        <v>9.6908687533862867</v>
      </c>
      <c r="S373" s="10">
        <v>9.6615093895341939</v>
      </c>
      <c r="T373" s="10">
        <v>105.83960757757146</v>
      </c>
      <c r="U373" s="10">
        <v>112.76097769229338</v>
      </c>
      <c r="V373" s="10">
        <v>5.4215887538475833</v>
      </c>
      <c r="W373" s="10" t="s">
        <v>114</v>
      </c>
      <c r="X373" s="10">
        <v>0.48118106008748562</v>
      </c>
      <c r="Y373" s="10">
        <v>3121.8586437804938</v>
      </c>
      <c r="Z373" s="10">
        <v>5.2667333090764341</v>
      </c>
      <c r="AA373" s="10">
        <v>0.99745976845348261</v>
      </c>
      <c r="AB373" s="10">
        <v>0.92716670344580332</v>
      </c>
      <c r="AC373" s="10" t="s">
        <v>114</v>
      </c>
      <c r="AD373" s="10" t="s">
        <v>114</v>
      </c>
      <c r="AE373" s="10">
        <v>0.48419624911370579</v>
      </c>
      <c r="AF373" s="10">
        <v>5.2608378846727439E-3</v>
      </c>
      <c r="AG373" s="10">
        <v>264.31158985597403</v>
      </c>
      <c r="AH373" s="10">
        <v>0.14752412901242426</v>
      </c>
      <c r="AI373" s="10">
        <v>0.34567510474806307</v>
      </c>
      <c r="AJ373" s="10">
        <v>3.2175837454809626E-2</v>
      </c>
      <c r="AK373" s="10">
        <v>0.18488255857359071</v>
      </c>
      <c r="AL373" s="10">
        <v>4.170049132708821E-2</v>
      </c>
      <c r="AM373" s="10">
        <v>9.5265471310959238E-3</v>
      </c>
      <c r="AN373" s="10">
        <v>3.0013412293612988E-2</v>
      </c>
      <c r="AO373" s="10" t="s">
        <v>114</v>
      </c>
      <c r="AP373" s="10">
        <v>2.451311012045496E-2</v>
      </c>
      <c r="AQ373" s="10" t="s">
        <v>114</v>
      </c>
      <c r="AR373" s="10" t="s">
        <v>114</v>
      </c>
      <c r="AS373" s="10" t="s">
        <v>114</v>
      </c>
      <c r="AT373" s="10" t="s">
        <v>114</v>
      </c>
      <c r="AU373" s="10" t="s">
        <v>114</v>
      </c>
      <c r="AV373" s="10">
        <v>0.68309860786645904</v>
      </c>
      <c r="AW373" s="10">
        <v>22.012938184096129</v>
      </c>
      <c r="AX373" s="10" t="s">
        <v>114</v>
      </c>
      <c r="AY373" s="10" t="s">
        <v>114</v>
      </c>
      <c r="AZ373" s="10">
        <v>17.972869808844607</v>
      </c>
      <c r="BA373" s="10">
        <v>16.264167986456595</v>
      </c>
      <c r="BB373" s="10">
        <v>16.729589854902141</v>
      </c>
      <c r="BC373" s="10" t="s">
        <v>114</v>
      </c>
      <c r="BD373" s="10">
        <v>31.943744470106783</v>
      </c>
    </row>
    <row r="374" spans="1:56" x14ac:dyDescent="0.3">
      <c r="A374" t="s">
        <v>459</v>
      </c>
      <c r="B374" t="s">
        <v>432</v>
      </c>
      <c r="C374" s="10">
        <v>5099.9917713676978</v>
      </c>
      <c r="D374" s="10">
        <v>3165.3413743702959</v>
      </c>
      <c r="E374" s="10">
        <v>446.34187259517677</v>
      </c>
      <c r="F374" s="10">
        <v>148590.28906287756</v>
      </c>
      <c r="G374" s="10">
        <v>261.12413168547488</v>
      </c>
      <c r="H374" s="10">
        <v>375035.03195217048</v>
      </c>
      <c r="I374" s="10">
        <v>391795.2213195581</v>
      </c>
      <c r="J374" s="10">
        <v>11.466309285358676</v>
      </c>
      <c r="K374" s="10">
        <v>11.551882019386895</v>
      </c>
      <c r="L374" s="10">
        <v>27.470397315870745</v>
      </c>
      <c r="M374" s="10">
        <v>1121.7381002266807</v>
      </c>
      <c r="N374" s="10">
        <v>1058.2038193964129</v>
      </c>
      <c r="O374" s="10">
        <v>1065.8416949838654</v>
      </c>
      <c r="P374" s="10">
        <v>3.3602531209662354</v>
      </c>
      <c r="Q374" s="10">
        <v>19.117812045896592</v>
      </c>
      <c r="R374" s="10">
        <v>25.095939520984032</v>
      </c>
      <c r="S374" s="10">
        <v>25.467412427492327</v>
      </c>
      <c r="T374" s="10">
        <v>178.26218075781651</v>
      </c>
      <c r="U374" s="10">
        <v>185.5026142396087</v>
      </c>
      <c r="V374" s="10">
        <v>8.4215311658317091</v>
      </c>
      <c r="W374" s="10" t="s">
        <v>114</v>
      </c>
      <c r="X374" s="10">
        <v>0.45440051216398997</v>
      </c>
      <c r="Y374" s="10">
        <v>2546.8463518941212</v>
      </c>
      <c r="Z374" s="10">
        <v>4.6212134094258932</v>
      </c>
      <c r="AA374" s="10">
        <v>0.9897864114471524</v>
      </c>
      <c r="AB374" s="10">
        <v>0.98289788371326503</v>
      </c>
      <c r="AC374" s="10">
        <v>0.1300708604095368</v>
      </c>
      <c r="AD374" s="10" t="s">
        <v>114</v>
      </c>
      <c r="AE374" s="10">
        <v>0.61128593237308326</v>
      </c>
      <c r="AF374" s="10">
        <v>3.7190147155597422E-3</v>
      </c>
      <c r="AG374" s="10">
        <v>247.49407628864549</v>
      </c>
      <c r="AH374" s="10">
        <v>0.22786586299216627</v>
      </c>
      <c r="AI374" s="10">
        <v>0.5141254896716082</v>
      </c>
      <c r="AJ374" s="10">
        <v>4.6780893712294852E-2</v>
      </c>
      <c r="AK374" s="10">
        <v>0.22304517000249749</v>
      </c>
      <c r="AL374" s="10">
        <v>4.0002650842034568E-2</v>
      </c>
      <c r="AM374" s="10">
        <v>1.7117061103479259E-2</v>
      </c>
      <c r="AN374" s="10">
        <v>6.054533938681074E-2</v>
      </c>
      <c r="AO374" s="10" t="s">
        <v>114</v>
      </c>
      <c r="AP374" s="10">
        <v>4.9598434376367483E-2</v>
      </c>
      <c r="AQ374" s="10" t="s">
        <v>114</v>
      </c>
      <c r="AR374" s="10">
        <v>1.9850061889668418E-2</v>
      </c>
      <c r="AS374" s="10" t="s">
        <v>114</v>
      </c>
      <c r="AT374" s="10">
        <v>2.5157862718121825E-2</v>
      </c>
      <c r="AU374" s="10" t="s">
        <v>114</v>
      </c>
      <c r="AV374" s="10">
        <v>0.47023091955285684</v>
      </c>
      <c r="AW374" s="10">
        <v>23.187462798808646</v>
      </c>
      <c r="AX374" s="10" t="s">
        <v>114</v>
      </c>
      <c r="AY374" s="10" t="s">
        <v>114</v>
      </c>
      <c r="AZ374" s="10">
        <v>19.07150638450209</v>
      </c>
      <c r="BA374" s="10">
        <v>17.231857372098187</v>
      </c>
      <c r="BB374" s="10">
        <v>17.681328740048357</v>
      </c>
      <c r="BC374" s="10" t="s">
        <v>114</v>
      </c>
      <c r="BD374" s="10">
        <v>38.996799692131084</v>
      </c>
    </row>
    <row r="375" spans="1:56" x14ac:dyDescent="0.3">
      <c r="A375" t="s">
        <v>460</v>
      </c>
      <c r="B375" t="s">
        <v>432</v>
      </c>
      <c r="C375" s="10">
        <v>4576.3714700770779</v>
      </c>
      <c r="D375" s="10">
        <v>2421.0035180235104</v>
      </c>
      <c r="E375" s="10">
        <v>273.13322897020635</v>
      </c>
      <c r="F375" s="10">
        <v>162289.63586341575</v>
      </c>
      <c r="G375" s="10">
        <v>323.1473450615693</v>
      </c>
      <c r="H375" s="10">
        <v>405729.89193644724</v>
      </c>
      <c r="I375" s="10">
        <v>420336.21916515299</v>
      </c>
      <c r="J375" s="10">
        <v>6.0318031712330615</v>
      </c>
      <c r="K375" s="10">
        <v>15.248821315155778</v>
      </c>
      <c r="L375" s="10">
        <v>21.583658728831757</v>
      </c>
      <c r="M375" s="10">
        <v>535.89546249389059</v>
      </c>
      <c r="N375" s="10">
        <v>1230.7066366733795</v>
      </c>
      <c r="O375" s="10">
        <v>1256.4267850697706</v>
      </c>
      <c r="P375" s="10">
        <v>0.41654550992024064</v>
      </c>
      <c r="Q375" s="10">
        <v>11.405419415898576</v>
      </c>
      <c r="R375" s="10">
        <v>13.807944714723824</v>
      </c>
      <c r="S375" s="10">
        <v>13.415802313153881</v>
      </c>
      <c r="T375" s="10">
        <v>119.1417027253746</v>
      </c>
      <c r="U375" s="10">
        <v>123.27536981694372</v>
      </c>
      <c r="V375" s="10">
        <v>10.141692277771506</v>
      </c>
      <c r="W375" s="10" t="s">
        <v>114</v>
      </c>
      <c r="X375" s="10">
        <v>0.52225577054359462</v>
      </c>
      <c r="Y375" s="10">
        <v>2045.9835864900658</v>
      </c>
      <c r="Z375" s="10">
        <v>9.860474488511457</v>
      </c>
      <c r="AA375" s="10">
        <v>2.7164375302468078</v>
      </c>
      <c r="AB375" s="10">
        <v>2.6929320091132527</v>
      </c>
      <c r="AC375" s="10">
        <v>5.7209678941131679E-2</v>
      </c>
      <c r="AD375" s="10" t="s">
        <v>114</v>
      </c>
      <c r="AE375" s="10">
        <v>0.92207700833483985</v>
      </c>
      <c r="AF375" s="10">
        <v>5.4338780174445662E-3</v>
      </c>
      <c r="AG375" s="10">
        <v>186.52033170493206</v>
      </c>
      <c r="AH375" s="10">
        <v>0.47862544462471923</v>
      </c>
      <c r="AI375" s="10">
        <v>0.88071433789204301</v>
      </c>
      <c r="AJ375" s="10">
        <v>6.6329719543785345E-2</v>
      </c>
      <c r="AK375" s="10">
        <v>0.27695304823691119</v>
      </c>
      <c r="AL375" s="10">
        <v>4.9536403579198883E-2</v>
      </c>
      <c r="AM375" s="10">
        <v>2.1274161106850389E-2</v>
      </c>
      <c r="AN375" s="10">
        <v>7.8884824154422675E-2</v>
      </c>
      <c r="AO375" s="10" t="s">
        <v>114</v>
      </c>
      <c r="AP375" s="10">
        <v>9.025559406498368E-2</v>
      </c>
      <c r="AQ375" s="10" t="s">
        <v>114</v>
      </c>
      <c r="AR375" s="10">
        <v>9.4581546868881913E-2</v>
      </c>
      <c r="AS375" s="10">
        <v>1.2360505869642375E-2</v>
      </c>
      <c r="AT375" s="10">
        <v>0.10072205693977815</v>
      </c>
      <c r="AU375" s="10">
        <v>1.974622703300816E-2</v>
      </c>
      <c r="AV375" s="10">
        <v>2.6141283054724886</v>
      </c>
      <c r="AW375" s="10">
        <v>21.908646116070678</v>
      </c>
      <c r="AX375" s="10" t="s">
        <v>114</v>
      </c>
      <c r="AY375" s="10" t="s">
        <v>114</v>
      </c>
      <c r="AZ375" s="10">
        <v>14.119766646529213</v>
      </c>
      <c r="BA375" s="10">
        <v>12.682071805565567</v>
      </c>
      <c r="BB375" s="10">
        <v>13.051134435392976</v>
      </c>
      <c r="BC375" s="10">
        <v>0.52057529648235568</v>
      </c>
      <c r="BD375" s="10">
        <v>30.002259271461455</v>
      </c>
    </row>
    <row r="376" spans="1:56" x14ac:dyDescent="0.3">
      <c r="A376" t="s">
        <v>461</v>
      </c>
      <c r="B376" t="s">
        <v>432</v>
      </c>
      <c r="C376" s="10">
        <v>4312.2531301275076</v>
      </c>
      <c r="D376" s="10">
        <v>3938.4938610218483</v>
      </c>
      <c r="E376" s="10">
        <v>222.05289629260693</v>
      </c>
      <c r="F376" s="10">
        <v>126368.48893917327</v>
      </c>
      <c r="G376" s="10">
        <v>261.80444924498369</v>
      </c>
      <c r="H376" s="10">
        <v>316835.84794286609</v>
      </c>
      <c r="I376" s="10">
        <v>331884.98711446376</v>
      </c>
      <c r="J376" s="10" t="s">
        <v>114</v>
      </c>
      <c r="K376" s="10">
        <v>14.445168401480446</v>
      </c>
      <c r="L376" s="10">
        <v>26.515543290656037</v>
      </c>
      <c r="M376" s="10">
        <v>1057.9559259244531</v>
      </c>
      <c r="N376" s="10">
        <v>1646.3252104610174</v>
      </c>
      <c r="O376" s="10">
        <v>1690.765526924826</v>
      </c>
      <c r="P376" s="10">
        <v>2.3742141242133408</v>
      </c>
      <c r="Q376" s="10">
        <v>12.674247422649261</v>
      </c>
      <c r="R376" s="10">
        <v>18.02541730772932</v>
      </c>
      <c r="S376" s="10">
        <v>18.022695555722677</v>
      </c>
      <c r="T376" s="10">
        <v>115.87265359295016</v>
      </c>
      <c r="U376" s="10">
        <v>115.69584951641423</v>
      </c>
      <c r="V376" s="10">
        <v>10.801561320394791</v>
      </c>
      <c r="W376" s="10" t="s">
        <v>114</v>
      </c>
      <c r="X376" s="10">
        <v>0.38725587220403646</v>
      </c>
      <c r="Y376" s="10">
        <v>2253.2920902209257</v>
      </c>
      <c r="Z376" s="10">
        <v>4.4270564114638793</v>
      </c>
      <c r="AA376" s="10">
        <v>1.2022589432362918</v>
      </c>
      <c r="AB376" s="10">
        <v>1.1571877393319971</v>
      </c>
      <c r="AC376" s="10">
        <v>9.1364285423139249E-2</v>
      </c>
      <c r="AD376" s="10" t="s">
        <v>114</v>
      </c>
      <c r="AE376" s="10">
        <v>0.50154783359131894</v>
      </c>
      <c r="AF376" s="10">
        <v>3.6455326595325101E-3</v>
      </c>
      <c r="AG376" s="10">
        <v>125.79836897070248</v>
      </c>
      <c r="AH376" s="10">
        <v>0.2593064088154996</v>
      </c>
      <c r="AI376" s="10">
        <v>0.69934599934963948</v>
      </c>
      <c r="AJ376" s="10">
        <v>3.8508423658825022E-2</v>
      </c>
      <c r="AK376" s="10">
        <v>0.18961643048556495</v>
      </c>
      <c r="AL376" s="10">
        <v>3.9493527151816574E-2</v>
      </c>
      <c r="AM376" s="10">
        <v>1.146242185707767E-2</v>
      </c>
      <c r="AN376" s="10">
        <v>4.607352772138415E-2</v>
      </c>
      <c r="AO376" s="10" t="s">
        <v>114</v>
      </c>
      <c r="AP376" s="10">
        <v>6.334664084909275E-2</v>
      </c>
      <c r="AQ376" s="10" t="s">
        <v>114</v>
      </c>
      <c r="AR376" s="10">
        <v>3.4313831399854972E-2</v>
      </c>
      <c r="AS376" s="10">
        <v>4.923735245092483E-3</v>
      </c>
      <c r="AT376" s="10">
        <v>4.3902169572143962E-2</v>
      </c>
      <c r="AU376" s="10">
        <v>7.3731733034133494E-3</v>
      </c>
      <c r="AV376" s="10">
        <v>1.2832122569252027</v>
      </c>
      <c r="AW376" s="10">
        <v>21.922296461705983</v>
      </c>
      <c r="AX376" s="10" t="s">
        <v>114</v>
      </c>
      <c r="AY376" s="10" t="s">
        <v>114</v>
      </c>
      <c r="AZ376" s="10">
        <v>21.25650167059748</v>
      </c>
      <c r="BA376" s="10">
        <v>19.076208741924084</v>
      </c>
      <c r="BB376" s="10">
        <v>19.795611526225024</v>
      </c>
      <c r="BC376" s="10">
        <v>0.12182960113348852</v>
      </c>
      <c r="BD376" s="10">
        <v>13.788463278232799</v>
      </c>
    </row>
    <row r="377" spans="1:56" x14ac:dyDescent="0.3">
      <c r="A377" t="s">
        <v>462</v>
      </c>
      <c r="B377" t="s">
        <v>432</v>
      </c>
      <c r="C377" s="10">
        <v>3069.6956379678754</v>
      </c>
      <c r="D377" s="10">
        <v>2299.8441115717251</v>
      </c>
      <c r="E377" s="10">
        <v>213.5808644242648</v>
      </c>
      <c r="F377" s="10">
        <v>155477.42925945032</v>
      </c>
      <c r="G377" s="10">
        <v>339.62362998758749</v>
      </c>
      <c r="H377" s="10">
        <v>367793.94985092286</v>
      </c>
      <c r="I377" s="10">
        <v>380503.11287696211</v>
      </c>
      <c r="J377" s="10">
        <v>5.3934058714014403</v>
      </c>
      <c r="K377" s="10">
        <v>12.263602007849251</v>
      </c>
      <c r="L377" s="10">
        <v>5.0650943010230218</v>
      </c>
      <c r="M377" s="10">
        <v>947.63627826025026</v>
      </c>
      <c r="N377" s="10">
        <v>951.67933927612307</v>
      </c>
      <c r="O377" s="10">
        <v>963.25146731543782</v>
      </c>
      <c r="P377" s="10">
        <v>2.0500232736949577</v>
      </c>
      <c r="Q377" s="10">
        <v>10.346423519447002</v>
      </c>
      <c r="R377" s="10">
        <v>19.069805884554267</v>
      </c>
      <c r="S377" s="10">
        <v>18.504953659800044</v>
      </c>
      <c r="T377" s="10">
        <v>148.50661576219349</v>
      </c>
      <c r="U377" s="10">
        <v>166.02615010914906</v>
      </c>
      <c r="V377" s="10">
        <v>18.079845465001323</v>
      </c>
      <c r="W377" s="10" t="s">
        <v>114</v>
      </c>
      <c r="X377" s="10">
        <v>0.63715203624923467</v>
      </c>
      <c r="Y377" s="10">
        <v>1306.4328526064739</v>
      </c>
      <c r="Z377" s="10">
        <v>2.2739043695571186</v>
      </c>
      <c r="AA377" s="10">
        <v>1.8045191474289985</v>
      </c>
      <c r="AB377" s="10">
        <v>1.608867164562144</v>
      </c>
      <c r="AC377" s="10">
        <v>0.34561797972848501</v>
      </c>
      <c r="AD377" s="10" t="s">
        <v>114</v>
      </c>
      <c r="AE377" s="10">
        <v>1.1337996454505193</v>
      </c>
      <c r="AF377" s="10">
        <v>8.4507012824493379E-3</v>
      </c>
      <c r="AG377" s="10">
        <v>482.63724898614385</v>
      </c>
      <c r="AH377" s="10">
        <v>0.89644389729019858</v>
      </c>
      <c r="AI377" s="10">
        <v>2.7842072031300016</v>
      </c>
      <c r="AJ377" s="10">
        <v>0.1743949205331958</v>
      </c>
      <c r="AK377" s="10">
        <v>0.68855709112824348</v>
      </c>
      <c r="AL377" s="10">
        <v>0.16468057265090041</v>
      </c>
      <c r="AM377" s="10">
        <v>5.397929489575725E-2</v>
      </c>
      <c r="AN377" s="10">
        <v>0.23528520842650844</v>
      </c>
      <c r="AO377" s="10" t="s">
        <v>114</v>
      </c>
      <c r="AP377" s="10">
        <v>0.25352097354976288</v>
      </c>
      <c r="AQ377" s="10">
        <v>5.1479163638898214E-2</v>
      </c>
      <c r="AR377" s="10">
        <v>0.1959950779514669</v>
      </c>
      <c r="AS377" s="10">
        <v>3.0209625430071541E-2</v>
      </c>
      <c r="AT377" s="10">
        <v>0.21319949170359712</v>
      </c>
      <c r="AU377" s="10">
        <v>3.4421806542885625E-2</v>
      </c>
      <c r="AV377" s="10">
        <v>0.51614794045993428</v>
      </c>
      <c r="AW377" s="10">
        <v>22.119445819818136</v>
      </c>
      <c r="AX377" s="10" t="s">
        <v>114</v>
      </c>
      <c r="AY377" s="10" t="s">
        <v>114</v>
      </c>
      <c r="AZ377" s="10">
        <v>299.26389934469273</v>
      </c>
      <c r="BA377" s="10">
        <v>270.52857364490302</v>
      </c>
      <c r="BB377" s="10">
        <v>278.21356843511813</v>
      </c>
      <c r="BC377" s="10" t="s">
        <v>114</v>
      </c>
      <c r="BD377" s="10">
        <v>30.351337355939105</v>
      </c>
    </row>
    <row r="378" spans="1:56" x14ac:dyDescent="0.3">
      <c r="A378" t="s">
        <v>463</v>
      </c>
      <c r="B378" t="s">
        <v>432</v>
      </c>
      <c r="C378" s="10">
        <v>3539.5591788830197</v>
      </c>
      <c r="D378" s="10">
        <v>2095.5535428051871</v>
      </c>
      <c r="E378" s="10">
        <v>345.30058248187743</v>
      </c>
      <c r="F378" s="10">
        <v>185746.19380066803</v>
      </c>
      <c r="G378" s="10">
        <v>362.43044676930316</v>
      </c>
      <c r="H378" s="10">
        <v>440914.70910161926</v>
      </c>
      <c r="I378" s="10">
        <v>452695.10509692883</v>
      </c>
      <c r="J378" s="10">
        <v>8.0626264451138034</v>
      </c>
      <c r="K378" s="10">
        <v>7.7598042278922632</v>
      </c>
      <c r="L378" s="10">
        <v>6.3835801515369646</v>
      </c>
      <c r="M378" s="10">
        <v>650.46047165572884</v>
      </c>
      <c r="N378" s="10">
        <v>213.9083416574224</v>
      </c>
      <c r="O378" s="10">
        <v>223.83597122798406</v>
      </c>
      <c r="P378" s="10">
        <v>0.80928577829287418</v>
      </c>
      <c r="Q378" s="10">
        <v>10.128707812350621</v>
      </c>
      <c r="R378" s="10">
        <v>16.064195620589125</v>
      </c>
      <c r="S378" s="10">
        <v>16.452655978832919</v>
      </c>
      <c r="T378" s="10">
        <v>154.04216619286817</v>
      </c>
      <c r="U378" s="10">
        <v>156.7139285976474</v>
      </c>
      <c r="V378" s="10">
        <v>9.1565104441486511</v>
      </c>
      <c r="W378" s="10">
        <v>10.93274816582862</v>
      </c>
      <c r="X378" s="10">
        <v>0.69459901054234563</v>
      </c>
      <c r="Y378" s="10">
        <v>1638.7868747076263</v>
      </c>
      <c r="Z378" s="10">
        <v>3.4793234462924012</v>
      </c>
      <c r="AA378" s="10">
        <v>1.4248276031278719</v>
      </c>
      <c r="AB378" s="10">
        <v>1.3338613081508748</v>
      </c>
      <c r="AC378" s="10" t="s">
        <v>114</v>
      </c>
      <c r="AD378" s="10" t="s">
        <v>114</v>
      </c>
      <c r="AE378" s="10">
        <v>0.20818572440093933</v>
      </c>
      <c r="AF378" s="10">
        <v>8.1906939696343335E-3</v>
      </c>
      <c r="AG378" s="10">
        <v>122.56862387743784</v>
      </c>
      <c r="AH378" s="10">
        <v>0.42200959153267648</v>
      </c>
      <c r="AI378" s="10">
        <v>0.85573240790944627</v>
      </c>
      <c r="AJ378" s="10">
        <v>6.6541294831200665E-2</v>
      </c>
      <c r="AK378" s="10">
        <v>0.27586120147124882</v>
      </c>
      <c r="AL378" s="10">
        <v>4.8638597194782925E-2</v>
      </c>
      <c r="AM378" s="10">
        <v>2.1119774008042113E-2</v>
      </c>
      <c r="AN378" s="10">
        <v>8.3549036514072611E-2</v>
      </c>
      <c r="AO378" s="10" t="s">
        <v>114</v>
      </c>
      <c r="AP378" s="10">
        <v>0.10677413811406047</v>
      </c>
      <c r="AQ378" s="10" t="s">
        <v>114</v>
      </c>
      <c r="AR378" s="10">
        <v>9.6731233486658352E-2</v>
      </c>
      <c r="AS378" s="10">
        <v>1.3802593525642785E-2</v>
      </c>
      <c r="AT378" s="10">
        <v>0.1135961682763526</v>
      </c>
      <c r="AU378" s="10">
        <v>1.808932357704161E-2</v>
      </c>
      <c r="AV378" s="10">
        <v>0.43120615401710349</v>
      </c>
      <c r="AW378" s="10">
        <v>21.737731710340601</v>
      </c>
      <c r="AX378" s="10" t="s">
        <v>114</v>
      </c>
      <c r="AY378" s="10" t="s">
        <v>114</v>
      </c>
      <c r="AZ378" s="10">
        <v>17.772456125887484</v>
      </c>
      <c r="BA378" s="10">
        <v>15.826598812653627</v>
      </c>
      <c r="BB378" s="10">
        <v>16.432298792895686</v>
      </c>
      <c r="BC378" s="10" t="s">
        <v>114</v>
      </c>
      <c r="BD378" s="10">
        <v>20.88623301057212</v>
      </c>
    </row>
    <row r="379" spans="1:56" x14ac:dyDescent="0.3">
      <c r="A379" t="s">
        <v>464</v>
      </c>
      <c r="B379" t="s">
        <v>432</v>
      </c>
      <c r="C379" s="10">
        <v>5772.3141969017397</v>
      </c>
      <c r="D379" s="10">
        <v>1755.0186428086583</v>
      </c>
      <c r="E379" s="10">
        <v>148.51598421038247</v>
      </c>
      <c r="F379" s="10">
        <v>150636.61535708263</v>
      </c>
      <c r="G379" s="10">
        <v>313.09285666648441</v>
      </c>
      <c r="H379" s="10">
        <v>380679.26409191912</v>
      </c>
      <c r="I379" s="10">
        <v>388382.7652815957</v>
      </c>
      <c r="J379" s="10">
        <v>4.5382085510722234</v>
      </c>
      <c r="K379" s="10">
        <v>7.4481732882461404</v>
      </c>
      <c r="L379" s="10">
        <v>34.906597164095238</v>
      </c>
      <c r="M379" s="10">
        <v>241.84507729809198</v>
      </c>
      <c r="N379" s="10">
        <v>854.73005371834688</v>
      </c>
      <c r="O379" s="10">
        <v>853.68952169194733</v>
      </c>
      <c r="P379" s="10">
        <v>0.45938755630278838</v>
      </c>
      <c r="Q379" s="10">
        <v>7.9067753850556928</v>
      </c>
      <c r="R379" s="10">
        <v>14.222338715504728</v>
      </c>
      <c r="S379" s="10">
        <v>14.127160507253013</v>
      </c>
      <c r="T379" s="10">
        <v>128.31277035006622</v>
      </c>
      <c r="U379" s="10">
        <v>129.55902616210031</v>
      </c>
      <c r="V379" s="10">
        <v>4.9281549593653518</v>
      </c>
      <c r="W379" s="10" t="s">
        <v>114</v>
      </c>
      <c r="X379" s="10">
        <v>0.40729718339253979</v>
      </c>
      <c r="Y379" s="10">
        <v>1391.0359450512926</v>
      </c>
      <c r="Z379" s="10">
        <v>5.1231415585696896</v>
      </c>
      <c r="AA379" s="10">
        <v>0.98306661498569581</v>
      </c>
      <c r="AB379" s="10">
        <v>1.0657631350346972</v>
      </c>
      <c r="AC379" s="10">
        <v>0.11817266579693356</v>
      </c>
      <c r="AD379" s="10" t="s">
        <v>114</v>
      </c>
      <c r="AE379" s="10">
        <v>0.85464630151979437</v>
      </c>
      <c r="AF379" s="10">
        <v>5.0700279647306673E-3</v>
      </c>
      <c r="AG379" s="10">
        <v>152.10480764599239</v>
      </c>
      <c r="AH379" s="10">
        <v>0.38235356043020535</v>
      </c>
      <c r="AI379" s="10">
        <v>0.43212937049228706</v>
      </c>
      <c r="AJ379" s="10">
        <v>3.6676395611309948E-2</v>
      </c>
      <c r="AK379" s="10">
        <v>0.15442286951330192</v>
      </c>
      <c r="AL379" s="10">
        <v>2.390036929103331E-2</v>
      </c>
      <c r="AM379" s="10">
        <v>1.2266486484005204E-2</v>
      </c>
      <c r="AN379" s="10">
        <v>6.619610309446991E-2</v>
      </c>
      <c r="AO379" s="10" t="s">
        <v>114</v>
      </c>
      <c r="AP379" s="10">
        <v>8.7019100646393538E-2</v>
      </c>
      <c r="AQ379" s="10" t="s">
        <v>114</v>
      </c>
      <c r="AR379" s="10">
        <v>0.10164369011855139</v>
      </c>
      <c r="AS379" s="10">
        <v>1.8727894583015509E-2</v>
      </c>
      <c r="AT379" s="10">
        <v>0.14530575894824774</v>
      </c>
      <c r="AU379" s="10">
        <v>2.6328348538852277E-2</v>
      </c>
      <c r="AV379" s="10">
        <v>0.54263874510038845</v>
      </c>
      <c r="AW379" s="10">
        <v>21.172959144010356</v>
      </c>
      <c r="AX379" s="10" t="s">
        <v>114</v>
      </c>
      <c r="AY379" s="10" t="s">
        <v>114</v>
      </c>
      <c r="AZ379" s="10">
        <v>41.846348860272499</v>
      </c>
      <c r="BA379" s="10">
        <v>37.785246187557064</v>
      </c>
      <c r="BB379" s="10">
        <v>38.834118009957592</v>
      </c>
      <c r="BC379" s="10" t="s">
        <v>114</v>
      </c>
      <c r="BD379" s="10">
        <v>36.612412125195263</v>
      </c>
    </row>
    <row r="380" spans="1:56" x14ac:dyDescent="0.3">
      <c r="A380" t="s">
        <v>465</v>
      </c>
      <c r="B380" t="s">
        <v>432</v>
      </c>
      <c r="C380" s="10">
        <v>5469.7207948907253</v>
      </c>
      <c r="D380" s="10">
        <v>1790.9605073197417</v>
      </c>
      <c r="E380" s="10">
        <v>234.01863960146537</v>
      </c>
      <c r="F380" s="10">
        <v>161546.81450368563</v>
      </c>
      <c r="G380" s="10">
        <v>444.47579623636324</v>
      </c>
      <c r="H380" s="10">
        <v>412095.66398384661</v>
      </c>
      <c r="I380" s="10">
        <v>421309.22026245535</v>
      </c>
      <c r="J380" s="10" t="s">
        <v>114</v>
      </c>
      <c r="K380" s="10">
        <v>13.577395263501018</v>
      </c>
      <c r="L380" s="10">
        <v>18.57495279286784</v>
      </c>
      <c r="M380" s="10">
        <v>715.68075838137736</v>
      </c>
      <c r="N380" s="10">
        <v>4182.14103022577</v>
      </c>
      <c r="O380" s="10">
        <v>4236.3442478424522</v>
      </c>
      <c r="P380" s="10">
        <v>2.7803025055462567</v>
      </c>
      <c r="Q380" s="10">
        <v>13.246942070416077</v>
      </c>
      <c r="R380" s="10">
        <v>21.270744602079493</v>
      </c>
      <c r="S380" s="10">
        <v>20.741881356230191</v>
      </c>
      <c r="T380" s="10">
        <v>100.9607909714524</v>
      </c>
      <c r="U380" s="10">
        <v>107.6784760502741</v>
      </c>
      <c r="V380" s="10">
        <v>29.265263234449943</v>
      </c>
      <c r="W380" s="10">
        <v>13.558843723841845</v>
      </c>
      <c r="X380" s="10">
        <v>0.81014002594231282</v>
      </c>
      <c r="Y380" s="10">
        <v>1375.634340935102</v>
      </c>
      <c r="Z380" s="10">
        <v>5.6895162720976238</v>
      </c>
      <c r="AA380" s="10">
        <v>1.4723254260090906</v>
      </c>
      <c r="AB380" s="10">
        <v>1.4423566775715846</v>
      </c>
      <c r="AC380" s="10" t="s">
        <v>114</v>
      </c>
      <c r="AD380" s="10" t="s">
        <v>114</v>
      </c>
      <c r="AE380" s="10">
        <v>1.7967671377219285</v>
      </c>
      <c r="AF380" s="10">
        <v>9.9766987617811269E-3</v>
      </c>
      <c r="AG380" s="10">
        <v>163.40766424946767</v>
      </c>
      <c r="AH380" s="10">
        <v>1.3446345639472896</v>
      </c>
      <c r="AI380" s="10">
        <v>1.8255758877497119</v>
      </c>
      <c r="AJ380" s="10">
        <v>0.23062712451577166</v>
      </c>
      <c r="AK380" s="10">
        <v>0.98943968119978387</v>
      </c>
      <c r="AL380" s="10">
        <v>0.18650145046371255</v>
      </c>
      <c r="AM380" s="10">
        <v>6.3365648555152698E-2</v>
      </c>
      <c r="AN380" s="10">
        <v>0.30580581534691037</v>
      </c>
      <c r="AO380" s="10">
        <v>4.5889061817600378E-2</v>
      </c>
      <c r="AP380" s="10">
        <v>0.41990274939472721</v>
      </c>
      <c r="AQ380" s="10">
        <v>9.7820158008770225E-2</v>
      </c>
      <c r="AR380" s="10">
        <v>0.37114884121750474</v>
      </c>
      <c r="AS380" s="10">
        <v>5.361616163743467E-2</v>
      </c>
      <c r="AT380" s="10">
        <v>0.40374696247004688</v>
      </c>
      <c r="AU380" s="10">
        <v>6.6037729247395663E-2</v>
      </c>
      <c r="AV380" s="10">
        <v>0.55890409149413933</v>
      </c>
      <c r="AW380" s="10">
        <v>21.163129159255224</v>
      </c>
      <c r="AX380" s="10" t="s">
        <v>114</v>
      </c>
      <c r="AY380" s="10" t="s">
        <v>114</v>
      </c>
      <c r="AZ380" s="10">
        <v>10.300880037072162</v>
      </c>
      <c r="BA380" s="10">
        <v>9.2790809444869389</v>
      </c>
      <c r="BB380" s="10">
        <v>9.5401998507834307</v>
      </c>
      <c r="BC380" s="10" t="s">
        <v>114</v>
      </c>
      <c r="BD380" s="10">
        <v>23.17726261521943</v>
      </c>
    </row>
    <row r="381" spans="1:56" x14ac:dyDescent="0.3">
      <c r="A381" t="s">
        <v>466</v>
      </c>
      <c r="B381" t="s">
        <v>432</v>
      </c>
      <c r="C381" s="10">
        <v>5125.4550611424229</v>
      </c>
      <c r="D381" s="10">
        <v>2435.1999696407538</v>
      </c>
      <c r="E381" s="10">
        <v>402.67971781806511</v>
      </c>
      <c r="F381" s="10">
        <v>169940.78597500076</v>
      </c>
      <c r="G381" s="10">
        <v>187.91543686013281</v>
      </c>
      <c r="H381" s="10">
        <v>430167.61369569303</v>
      </c>
      <c r="I381" s="10">
        <v>443458.64936509589</v>
      </c>
      <c r="J381" s="10">
        <v>9.0796045545198911</v>
      </c>
      <c r="K381" s="10">
        <v>14.337458791988052</v>
      </c>
      <c r="L381" s="10">
        <v>20.300631842479898</v>
      </c>
      <c r="M381" s="10">
        <v>932.77837060695447</v>
      </c>
      <c r="N381" s="10">
        <v>413.54328837728139</v>
      </c>
      <c r="O381" s="10">
        <v>407.51508000468624</v>
      </c>
      <c r="P381" s="10">
        <v>1.1105189972492668</v>
      </c>
      <c r="Q381" s="10">
        <v>15.689342068329099</v>
      </c>
      <c r="R381" s="10">
        <v>17.439754174363756</v>
      </c>
      <c r="S381" s="10">
        <v>17.95826350597736</v>
      </c>
      <c r="T381" s="10">
        <v>127.9005574937444</v>
      </c>
      <c r="U381" s="10">
        <v>170.5666542327188</v>
      </c>
      <c r="V381" s="10">
        <v>7.9040662779040618</v>
      </c>
      <c r="W381" s="10" t="s">
        <v>114</v>
      </c>
      <c r="X381" s="10">
        <v>0.30196871530347486</v>
      </c>
      <c r="Y381" s="10">
        <v>2218.541930821912</v>
      </c>
      <c r="Z381" s="10">
        <v>7.7672093933896935</v>
      </c>
      <c r="AA381" s="10">
        <v>2.343532467038993</v>
      </c>
      <c r="AB381" s="10">
        <v>2.292032869699538</v>
      </c>
      <c r="AC381" s="10">
        <v>0.10682151926448727</v>
      </c>
      <c r="AD381" s="10" t="s">
        <v>114</v>
      </c>
      <c r="AE381" s="10">
        <v>0.39754082186261586</v>
      </c>
      <c r="AF381" s="10">
        <v>6.5514397865460991E-3</v>
      </c>
      <c r="AG381" s="10">
        <v>911.41578811719285</v>
      </c>
      <c r="AH381" s="10">
        <v>0.26247253926290698</v>
      </c>
      <c r="AI381" s="10">
        <v>0.59135928595569554</v>
      </c>
      <c r="AJ381" s="10">
        <v>4.0999342836174985E-2</v>
      </c>
      <c r="AK381" s="10">
        <v>0.18179956298370784</v>
      </c>
      <c r="AL381" s="10">
        <v>3.032646451820311E-2</v>
      </c>
      <c r="AM381" s="10">
        <v>1.7720908141056688E-2</v>
      </c>
      <c r="AN381" s="10">
        <v>5.0830318988800534E-2</v>
      </c>
      <c r="AO381" s="10" t="s">
        <v>114</v>
      </c>
      <c r="AP381" s="10">
        <v>5.2637210880281574E-2</v>
      </c>
      <c r="AQ381" s="10" t="s">
        <v>114</v>
      </c>
      <c r="AR381" s="10">
        <v>6.6150531170865112E-2</v>
      </c>
      <c r="AS381" s="10">
        <v>9.2894768409598934E-3</v>
      </c>
      <c r="AT381" s="10">
        <v>7.779442449033426E-2</v>
      </c>
      <c r="AU381" s="10">
        <v>1.6151742466973179E-2</v>
      </c>
      <c r="AV381" s="10">
        <v>2.1622040092370476</v>
      </c>
      <c r="AW381" s="10">
        <v>21.219746651658202</v>
      </c>
      <c r="AX381" s="10" t="s">
        <v>114</v>
      </c>
      <c r="AY381" s="10" t="s">
        <v>114</v>
      </c>
      <c r="AZ381" s="10">
        <v>44.233713468798015</v>
      </c>
      <c r="BA381" s="10">
        <v>39.659216979331397</v>
      </c>
      <c r="BB381" s="10">
        <v>41.15557813579634</v>
      </c>
      <c r="BC381" s="10">
        <v>0.46270052702630482</v>
      </c>
      <c r="BD381" s="10">
        <v>23.297166299661782</v>
      </c>
    </row>
    <row r="382" spans="1:56" x14ac:dyDescent="0.3">
      <c r="A382" t="s">
        <v>467</v>
      </c>
      <c r="B382" t="s">
        <v>432</v>
      </c>
      <c r="C382" s="10">
        <v>7672.6734144376205</v>
      </c>
      <c r="D382" s="10">
        <v>4116.1573004736356</v>
      </c>
      <c r="E382" s="10">
        <v>584.84557903426719</v>
      </c>
      <c r="F382" s="10">
        <v>268869.20332508854</v>
      </c>
      <c r="G382" s="10">
        <v>236.3556712248199</v>
      </c>
      <c r="H382" s="10">
        <v>680186.82292916218</v>
      </c>
      <c r="I382" s="10">
        <v>699959.52896655386</v>
      </c>
      <c r="J382" s="10">
        <v>5.825953660744573</v>
      </c>
      <c r="K382" s="10">
        <v>29.237911360381521</v>
      </c>
      <c r="L382" s="10">
        <v>47.672584268765597</v>
      </c>
      <c r="M382" s="10">
        <v>1375.6606160081765</v>
      </c>
      <c r="N382" s="10">
        <v>422.93104600167345</v>
      </c>
      <c r="O382" s="10">
        <v>428.07819188613485</v>
      </c>
      <c r="P382" s="10">
        <v>3.5678274970616286</v>
      </c>
      <c r="Q382" s="10">
        <v>24.077897122648391</v>
      </c>
      <c r="R382" s="10">
        <v>24.069778097825697</v>
      </c>
      <c r="S382" s="10">
        <v>23.786429893614276</v>
      </c>
      <c r="T382" s="10">
        <v>228.80536790673673</v>
      </c>
      <c r="U382" s="10">
        <v>242.94681684247297</v>
      </c>
      <c r="V382" s="10">
        <v>26.186875493266324</v>
      </c>
      <c r="W382" s="10" t="s">
        <v>114</v>
      </c>
      <c r="X382" s="10">
        <v>0.3683356952327842</v>
      </c>
      <c r="Y382" s="10">
        <v>3495.392581086116</v>
      </c>
      <c r="Z382" s="10">
        <v>11.244460425217763</v>
      </c>
      <c r="AA382" s="10">
        <v>3.9274821203960562</v>
      </c>
      <c r="AB382" s="10">
        <v>3.8593014848038281</v>
      </c>
      <c r="AC382" s="10">
        <v>0.13988669757005989</v>
      </c>
      <c r="AD382" s="10" t="s">
        <v>114</v>
      </c>
      <c r="AE382" s="10">
        <v>0.86401588931008377</v>
      </c>
      <c r="AF382" s="10">
        <v>6.6730627049371291E-3</v>
      </c>
      <c r="AG382" s="10">
        <v>476.20211604061484</v>
      </c>
      <c r="AH382" s="10">
        <v>0.23796209371247037</v>
      </c>
      <c r="AI382" s="10">
        <v>0.54956662558683456</v>
      </c>
      <c r="AJ382" s="10">
        <v>3.182610870718635E-2</v>
      </c>
      <c r="AK382" s="10">
        <v>0.13500413308752177</v>
      </c>
      <c r="AL382" s="10" t="s">
        <v>114</v>
      </c>
      <c r="AM382" s="10">
        <v>1.5783921687070428E-2</v>
      </c>
      <c r="AN382" s="10">
        <v>5.4577169313794353E-2</v>
      </c>
      <c r="AO382" s="10" t="s">
        <v>114</v>
      </c>
      <c r="AP382" s="10">
        <v>6.9303998545537385E-2</v>
      </c>
      <c r="AQ382" s="10" t="s">
        <v>114</v>
      </c>
      <c r="AR382" s="10">
        <v>7.7646571353678223E-2</v>
      </c>
      <c r="AS382" s="10">
        <v>1.4963493933874908E-2</v>
      </c>
      <c r="AT382" s="10">
        <v>0.10343732630645153</v>
      </c>
      <c r="AU382" s="10">
        <v>1.8354030253457953E-2</v>
      </c>
      <c r="AV382" s="10">
        <v>2.1723149075387052</v>
      </c>
      <c r="AW382" s="10">
        <v>23.771423089392695</v>
      </c>
      <c r="AX382" s="10" t="s">
        <v>114</v>
      </c>
      <c r="AY382" s="10" t="s">
        <v>114</v>
      </c>
      <c r="AZ382" s="10">
        <v>46.080336812577073</v>
      </c>
      <c r="BA382" s="10">
        <v>41.370273917332206</v>
      </c>
      <c r="BB382" s="10">
        <v>42.719749407305663</v>
      </c>
      <c r="BC382" s="10">
        <v>0.19706859660288154</v>
      </c>
      <c r="BD382" s="10">
        <v>41.507981739347414</v>
      </c>
    </row>
    <row r="383" spans="1:56" x14ac:dyDescent="0.3">
      <c r="A383" t="s">
        <v>468</v>
      </c>
      <c r="B383" t="s">
        <v>432</v>
      </c>
      <c r="C383" s="10">
        <v>9654.4288615488094</v>
      </c>
      <c r="D383" s="10">
        <v>4113.1368124002738</v>
      </c>
      <c r="E383" s="10">
        <v>1396.2120763197781</v>
      </c>
      <c r="F383" s="10">
        <v>312291.17466681998</v>
      </c>
      <c r="G383" s="10">
        <v>1140.9126019545031</v>
      </c>
      <c r="H383" s="10">
        <v>767502.50821766141</v>
      </c>
      <c r="I383" s="10">
        <v>791195.67217509006</v>
      </c>
      <c r="J383" s="10">
        <v>49.962839465922784</v>
      </c>
      <c r="K383" s="10">
        <v>39.169640200909313</v>
      </c>
      <c r="L383" s="10">
        <v>36.382703078889449</v>
      </c>
      <c r="M383" s="10">
        <v>760.09321167823248</v>
      </c>
      <c r="N383" s="10">
        <v>6480.6223122016472</v>
      </c>
      <c r="O383" s="10">
        <v>6457.7844729726266</v>
      </c>
      <c r="P383" s="10">
        <v>2.218717003945065</v>
      </c>
      <c r="Q383" s="10">
        <v>22.980801677720081</v>
      </c>
      <c r="R383" s="10">
        <v>31.557274658934013</v>
      </c>
      <c r="S383" s="10">
        <v>31.311727616430915</v>
      </c>
      <c r="T383" s="10">
        <v>248.7898252325968</v>
      </c>
      <c r="U383" s="10">
        <v>251.35713670411144</v>
      </c>
      <c r="V383" s="10">
        <v>49.373067530870848</v>
      </c>
      <c r="W383" s="10">
        <v>11.771316123169518</v>
      </c>
      <c r="X383" s="10">
        <v>1.6339491728039073</v>
      </c>
      <c r="Y383" s="10">
        <v>3353.7522838514515</v>
      </c>
      <c r="Z383" s="10">
        <v>10.2543994133553</v>
      </c>
      <c r="AA383" s="10">
        <v>4.3279734556332086</v>
      </c>
      <c r="AB383" s="10">
        <v>4.2219085467974082</v>
      </c>
      <c r="AC383" s="10">
        <v>7.6611988832065228E-2</v>
      </c>
      <c r="AD383" s="10" t="s">
        <v>114</v>
      </c>
      <c r="AE383" s="10">
        <v>4.7045245010583496</v>
      </c>
      <c r="AF383" s="10">
        <v>1.4867975006902207E-2</v>
      </c>
      <c r="AG383" s="10">
        <v>325.36100456780622</v>
      </c>
      <c r="AH383" s="10">
        <v>1.0394000204002829</v>
      </c>
      <c r="AI383" s="10">
        <v>2.4157572482368188</v>
      </c>
      <c r="AJ383" s="10">
        <v>0.2512427227047096</v>
      </c>
      <c r="AK383" s="10">
        <v>1.1756138731142167</v>
      </c>
      <c r="AL383" s="10">
        <v>0.24772799369381029</v>
      </c>
      <c r="AM383" s="10">
        <v>6.7531541386821881E-2</v>
      </c>
      <c r="AN383" s="10">
        <v>0.27370736176793081</v>
      </c>
      <c r="AO383" s="10" t="s">
        <v>114</v>
      </c>
      <c r="AP383" s="10">
        <v>0.23352749248801513</v>
      </c>
      <c r="AQ383" s="10" t="s">
        <v>114</v>
      </c>
      <c r="AR383" s="10">
        <v>0.14829803924601823</v>
      </c>
      <c r="AS383" s="10">
        <v>2.1599909055880287E-2</v>
      </c>
      <c r="AT383" s="10">
        <v>0.15202601772911442</v>
      </c>
      <c r="AU383" s="10">
        <v>2.0284775030592273E-2</v>
      </c>
      <c r="AV383" s="10">
        <v>1.4327866358955059</v>
      </c>
      <c r="AW383" s="10">
        <v>24.143087904908313</v>
      </c>
      <c r="AX383" s="10" t="s">
        <v>114</v>
      </c>
      <c r="AY383" s="10" t="s">
        <v>114</v>
      </c>
      <c r="AZ383" s="10">
        <v>25.951671518437223</v>
      </c>
      <c r="BA383" s="10">
        <v>23.456187502750371</v>
      </c>
      <c r="BB383" s="10">
        <v>24.129014725762403</v>
      </c>
      <c r="BC383" s="10">
        <v>0.20380845722115243</v>
      </c>
      <c r="BD383" s="10">
        <v>55.899106530609508</v>
      </c>
    </row>
    <row r="384" spans="1:56" x14ac:dyDescent="0.3">
      <c r="A384" t="s">
        <v>469</v>
      </c>
      <c r="B384" t="s">
        <v>432</v>
      </c>
      <c r="C384" s="10">
        <v>3906.5533054133166</v>
      </c>
      <c r="D384" s="10">
        <v>3946.0719265503044</v>
      </c>
      <c r="E384" s="10">
        <v>243.14891989721596</v>
      </c>
      <c r="F384" s="10">
        <v>159240.56873746164</v>
      </c>
      <c r="G384" s="10">
        <v>139.84627218302424</v>
      </c>
      <c r="H384" s="10">
        <v>415939.46510446991</v>
      </c>
      <c r="I384" s="10">
        <v>436061.9908719082</v>
      </c>
      <c r="J384" s="10">
        <v>7.0241706678391944</v>
      </c>
      <c r="K384" s="10">
        <v>19.195634005455428</v>
      </c>
      <c r="L384" s="10">
        <v>43.911642403234801</v>
      </c>
      <c r="M384" s="10">
        <v>285.09718214875539</v>
      </c>
      <c r="N384" s="10">
        <v>279.36523340745822</v>
      </c>
      <c r="O384" s="10">
        <v>285.94888259853514</v>
      </c>
      <c r="P384" s="10">
        <v>0.37562285239342635</v>
      </c>
      <c r="Q384" s="10">
        <v>2.8630038459968916</v>
      </c>
      <c r="R384" s="10">
        <v>19.397021136631427</v>
      </c>
      <c r="S384" s="10">
        <v>19.706753796750561</v>
      </c>
      <c r="T384" s="10">
        <v>121.26636093603857</v>
      </c>
      <c r="U384" s="10">
        <v>129.24999632698166</v>
      </c>
      <c r="V384" s="10">
        <v>9.7667513951905498</v>
      </c>
      <c r="W384" s="10" t="s">
        <v>114</v>
      </c>
      <c r="X384" s="10" t="s">
        <v>114</v>
      </c>
      <c r="Y384" s="10">
        <v>3174.8587303432569</v>
      </c>
      <c r="Z384" s="10">
        <v>6.1292279130826257</v>
      </c>
      <c r="AA384" s="10">
        <v>0.94125753881248553</v>
      </c>
      <c r="AB384" s="10">
        <v>0.93823238482743798</v>
      </c>
      <c r="AC384" s="10" t="s">
        <v>114</v>
      </c>
      <c r="AD384" s="10" t="s">
        <v>114</v>
      </c>
      <c r="AE384" s="10">
        <v>0.66830802760839181</v>
      </c>
      <c r="AF384" s="10">
        <v>1.2235246163921523E-3</v>
      </c>
      <c r="AG384" s="10">
        <v>219.20744160563345</v>
      </c>
      <c r="AH384" s="10">
        <v>0.16032677990386551</v>
      </c>
      <c r="AI384" s="10">
        <v>0.34800920155564685</v>
      </c>
      <c r="AJ384" s="10">
        <v>4.3210262162960048E-2</v>
      </c>
      <c r="AK384" s="10">
        <v>0.16026966513347499</v>
      </c>
      <c r="AL384" s="10">
        <v>2.4117161444794494E-2</v>
      </c>
      <c r="AM384" s="10">
        <v>1.043025272483903E-2</v>
      </c>
      <c r="AN384" s="10">
        <v>3.9742595708062142E-2</v>
      </c>
      <c r="AO384" s="10" t="s">
        <v>114</v>
      </c>
      <c r="AP384" s="10">
        <v>2.4503038917126258E-2</v>
      </c>
      <c r="AQ384" s="10" t="s">
        <v>114</v>
      </c>
      <c r="AR384" s="10">
        <v>2.2437742696914613E-2</v>
      </c>
      <c r="AS384" s="10">
        <v>3.1094173119744759E-3</v>
      </c>
      <c r="AT384" s="10">
        <v>2.2450011170737978E-2</v>
      </c>
      <c r="AU384" s="10">
        <v>4.4986587266324122E-3</v>
      </c>
      <c r="AV384" s="10">
        <v>0.92753097195822587</v>
      </c>
      <c r="AW384" s="10">
        <v>20.907908094591772</v>
      </c>
      <c r="AX384" s="10" t="s">
        <v>114</v>
      </c>
      <c r="AY384" s="10" t="s">
        <v>114</v>
      </c>
      <c r="AZ384" s="10">
        <v>11.021911767782134</v>
      </c>
      <c r="BA384" s="10">
        <v>9.9005869636020165</v>
      </c>
      <c r="BB384" s="10">
        <v>10.25169699407418</v>
      </c>
      <c r="BC384" s="10" t="s">
        <v>114</v>
      </c>
      <c r="BD384" s="10">
        <v>18.11211505283692</v>
      </c>
    </row>
    <row r="385" spans="1:56" x14ac:dyDescent="0.3">
      <c r="A385" t="s">
        <v>470</v>
      </c>
      <c r="B385" t="s">
        <v>432</v>
      </c>
      <c r="C385" s="10">
        <v>4237.1950902826957</v>
      </c>
      <c r="D385" s="10">
        <v>2001.0614822512823</v>
      </c>
      <c r="E385" s="10">
        <v>138.52939312537652</v>
      </c>
      <c r="F385" s="10">
        <v>135828.28977584478</v>
      </c>
      <c r="G385" s="10">
        <v>238.47449980542515</v>
      </c>
      <c r="H385" s="10">
        <v>336145.34907394665</v>
      </c>
      <c r="I385" s="10">
        <v>348302.51592488284</v>
      </c>
      <c r="J385" s="10" t="s">
        <v>114</v>
      </c>
      <c r="K385" s="10">
        <v>14.807583791837121</v>
      </c>
      <c r="L385" s="10">
        <v>16.664893044994965</v>
      </c>
      <c r="M385" s="10">
        <v>638.88725920597892</v>
      </c>
      <c r="N385" s="10">
        <v>322.56222559095323</v>
      </c>
      <c r="O385" s="10">
        <v>335.19759980285534</v>
      </c>
      <c r="P385" s="10">
        <v>0.5697778571846831</v>
      </c>
      <c r="Q385" s="10">
        <v>8.4125235877586011</v>
      </c>
      <c r="R385" s="10">
        <v>10.671371844807163</v>
      </c>
      <c r="S385" s="10">
        <v>10.666866352888759</v>
      </c>
      <c r="T385" s="10">
        <v>105.71920529585692</v>
      </c>
      <c r="U385" s="10">
        <v>116.28188415739115</v>
      </c>
      <c r="V385" s="10">
        <v>7.0965029085852107</v>
      </c>
      <c r="W385" s="10" t="s">
        <v>114</v>
      </c>
      <c r="X385" s="10">
        <v>0.30667813240061093</v>
      </c>
      <c r="Y385" s="10">
        <v>1829.0661383550155</v>
      </c>
      <c r="Z385" s="10">
        <v>4.3445707714468291</v>
      </c>
      <c r="AA385" s="10">
        <v>1.434690043614403</v>
      </c>
      <c r="AB385" s="10">
        <v>1.3431817625199247</v>
      </c>
      <c r="AC385" s="10" t="s">
        <v>114</v>
      </c>
      <c r="AD385" s="10" t="s">
        <v>114</v>
      </c>
      <c r="AE385" s="10">
        <v>0.38601985737253436</v>
      </c>
      <c r="AF385" s="10">
        <v>2.532505287944695E-3</v>
      </c>
      <c r="AG385" s="10">
        <v>263.67000473883149</v>
      </c>
      <c r="AH385" s="10">
        <v>8.2328708448515461E-2</v>
      </c>
      <c r="AI385" s="10">
        <v>0.18553827610790796</v>
      </c>
      <c r="AJ385" s="10">
        <v>1.2698611688005833E-2</v>
      </c>
      <c r="AK385" s="10">
        <v>6.404336552708273E-2</v>
      </c>
      <c r="AL385" s="10" t="s">
        <v>114</v>
      </c>
      <c r="AM385" s="10" t="s">
        <v>114</v>
      </c>
      <c r="AN385" s="10">
        <v>1.7180051011250315E-2</v>
      </c>
      <c r="AO385" s="10" t="s">
        <v>114</v>
      </c>
      <c r="AP385" s="10">
        <v>2.1113628305567966E-2</v>
      </c>
      <c r="AQ385" s="10" t="s">
        <v>114</v>
      </c>
      <c r="AR385" s="10">
        <v>1.6244313754302533E-2</v>
      </c>
      <c r="AS385" s="10">
        <v>3.4007543606783394E-3</v>
      </c>
      <c r="AT385" s="10">
        <v>2.712556821848278E-2</v>
      </c>
      <c r="AU385" s="10">
        <v>5.6579069176655805E-3</v>
      </c>
      <c r="AV385" s="10">
        <v>0.21985633480692385</v>
      </c>
      <c r="AW385" s="10">
        <v>21.194026396963295</v>
      </c>
      <c r="AX385" s="10" t="s">
        <v>114</v>
      </c>
      <c r="AY385" s="10" t="s">
        <v>114</v>
      </c>
      <c r="AZ385" s="10">
        <v>17.497014945554405</v>
      </c>
      <c r="BA385" s="10">
        <v>15.809422126488471</v>
      </c>
      <c r="BB385" s="10">
        <v>16.237631286135347</v>
      </c>
      <c r="BC385" s="10" t="s">
        <v>114</v>
      </c>
      <c r="BD385" s="10">
        <v>21.495483091435464</v>
      </c>
    </row>
    <row r="386" spans="1:56" x14ac:dyDescent="0.3">
      <c r="A386" t="s">
        <v>471</v>
      </c>
      <c r="B386" t="s">
        <v>432</v>
      </c>
      <c r="C386" s="10">
        <v>6472.9611178060686</v>
      </c>
      <c r="D386" s="10">
        <v>6059.3062493091429</v>
      </c>
      <c r="E386" s="10">
        <v>448.39364360949054</v>
      </c>
      <c r="F386" s="10">
        <v>238364.1745508076</v>
      </c>
      <c r="G386" s="10">
        <v>398.56496293315206</v>
      </c>
      <c r="H386" s="10">
        <v>615708.71222476626</v>
      </c>
      <c r="I386" s="10">
        <v>638556.97252303187</v>
      </c>
      <c r="J386" s="10">
        <v>11.806357034923797</v>
      </c>
      <c r="K386" s="10">
        <v>25.186523617394752</v>
      </c>
      <c r="L386" s="10">
        <v>70.4262575237031</v>
      </c>
      <c r="M386" s="10">
        <v>1030.2280115243611</v>
      </c>
      <c r="N386" s="10">
        <v>2218.2923133996542</v>
      </c>
      <c r="O386" s="10">
        <v>2233.1719566186107</v>
      </c>
      <c r="P386" s="10">
        <v>1.4818966741674249</v>
      </c>
      <c r="Q386" s="10">
        <v>15.809767130912086</v>
      </c>
      <c r="R386" s="10">
        <v>75.107132134181157</v>
      </c>
      <c r="S386" s="10">
        <v>74.606849509677957</v>
      </c>
      <c r="T386" s="10">
        <v>183.71248062697904</v>
      </c>
      <c r="U386" s="10">
        <v>187.69377770767582</v>
      </c>
      <c r="V386" s="10">
        <v>12.249826192986866</v>
      </c>
      <c r="W386" s="10" t="s">
        <v>114</v>
      </c>
      <c r="X386" s="10">
        <v>0.6270969807355905</v>
      </c>
      <c r="Y386" s="10">
        <v>4148.1672054098462</v>
      </c>
      <c r="Z386" s="10">
        <v>7.7189276432274738</v>
      </c>
      <c r="AA386" s="10">
        <v>0.71117375573629815</v>
      </c>
      <c r="AB386" s="10">
        <v>0.72120322895843647</v>
      </c>
      <c r="AC386" s="10">
        <v>0.116447568507038</v>
      </c>
      <c r="AD386" s="10" t="s">
        <v>114</v>
      </c>
      <c r="AE386" s="10">
        <v>1.6231575167574144</v>
      </c>
      <c r="AF386" s="10">
        <v>6.8816315900644557E-3</v>
      </c>
      <c r="AG386" s="10">
        <v>308.72798994379986</v>
      </c>
      <c r="AH386" s="10">
        <v>0.27376063409936097</v>
      </c>
      <c r="AI386" s="10">
        <v>0.64601071817702882</v>
      </c>
      <c r="AJ386" s="10">
        <v>5.4197667753662152E-2</v>
      </c>
      <c r="AK386" s="10">
        <v>0.25846198341359167</v>
      </c>
      <c r="AL386" s="10">
        <v>5.3663409558056194E-2</v>
      </c>
      <c r="AM386" s="10">
        <v>1.3590755142766165E-2</v>
      </c>
      <c r="AN386" s="10">
        <v>5.0565348096870646E-2</v>
      </c>
      <c r="AO386" s="10" t="s">
        <v>114</v>
      </c>
      <c r="AP386" s="10">
        <v>4.5129548475587804E-2</v>
      </c>
      <c r="AQ386" s="10" t="s">
        <v>114</v>
      </c>
      <c r="AR386" s="10">
        <v>2.7737192859709721E-2</v>
      </c>
      <c r="AS386" s="10" t="s">
        <v>114</v>
      </c>
      <c r="AT386" s="10">
        <v>3.0496765183177621E-2</v>
      </c>
      <c r="AU386" s="10">
        <v>3.2938823045455499E-3</v>
      </c>
      <c r="AV386" s="10">
        <v>0.8780964476925065</v>
      </c>
      <c r="AW386" s="10">
        <v>21.964662191265191</v>
      </c>
      <c r="AX386" s="10" t="s">
        <v>114</v>
      </c>
      <c r="AY386" s="10" t="s">
        <v>114</v>
      </c>
      <c r="AZ386" s="10">
        <v>229.59188445208579</v>
      </c>
      <c r="BA386" s="10">
        <v>207.08672143133714</v>
      </c>
      <c r="BB386" s="10">
        <v>212.57532876051576</v>
      </c>
      <c r="BC386" s="10" t="s">
        <v>114</v>
      </c>
      <c r="BD386" s="10">
        <v>46.837251180849478</v>
      </c>
    </row>
    <row r="387" spans="1:56" x14ac:dyDescent="0.3">
      <c r="A387" t="s">
        <v>472</v>
      </c>
      <c r="B387" t="s">
        <v>432</v>
      </c>
      <c r="C387" s="10">
        <v>3139.0149041181644</v>
      </c>
      <c r="D387" s="10">
        <v>860.11697679307133</v>
      </c>
      <c r="E387" s="10">
        <v>307.2162081750526</v>
      </c>
      <c r="F387" s="10">
        <v>79002.975371708962</v>
      </c>
      <c r="G387" s="10">
        <v>252.2488420021001</v>
      </c>
      <c r="H387" s="10">
        <v>195818.98768028439</v>
      </c>
      <c r="I387" s="10">
        <v>202558.98234213324</v>
      </c>
      <c r="J387" s="10">
        <v>13.003465327219457</v>
      </c>
      <c r="K387" s="10">
        <v>3.437024119718942</v>
      </c>
      <c r="L387" s="10">
        <v>10.624805354777465</v>
      </c>
      <c r="M387" s="10">
        <v>140.36667844040073</v>
      </c>
      <c r="N387" s="10">
        <v>169.35006417293494</v>
      </c>
      <c r="O387" s="10">
        <v>163.73568654612646</v>
      </c>
      <c r="P387" s="10">
        <v>0.28053992107023717</v>
      </c>
      <c r="Q387" s="10">
        <v>3.5221646214788644</v>
      </c>
      <c r="R387" s="10">
        <v>8.306475842852846</v>
      </c>
      <c r="S387" s="10">
        <v>8.6719141248830791</v>
      </c>
      <c r="T387" s="10">
        <v>72.498925808416217</v>
      </c>
      <c r="U387" s="10">
        <v>72.274679472234155</v>
      </c>
      <c r="V387" s="10">
        <v>3.0094722094150379</v>
      </c>
      <c r="W387" s="10" t="s">
        <v>114</v>
      </c>
      <c r="X387" s="10">
        <v>0.45043305656724852</v>
      </c>
      <c r="Y387" s="10">
        <v>903.8560439244734</v>
      </c>
      <c r="Z387" s="10">
        <v>3.9346651581979994</v>
      </c>
      <c r="AA387" s="10">
        <v>1.0167524533992824</v>
      </c>
      <c r="AB387" s="10">
        <v>0.97310762005640006</v>
      </c>
      <c r="AC387" s="10" t="s">
        <v>114</v>
      </c>
      <c r="AD387" s="10" t="s">
        <v>114</v>
      </c>
      <c r="AE387" s="10">
        <v>0.1324899713921005</v>
      </c>
      <c r="AF387" s="10">
        <v>6.2218354783045698E-3</v>
      </c>
      <c r="AG387" s="10">
        <v>69.095416388818023</v>
      </c>
      <c r="AH387" s="10">
        <v>0.50299701822938714</v>
      </c>
      <c r="AI387" s="10">
        <v>0.62797920103464788</v>
      </c>
      <c r="AJ387" s="10">
        <v>6.9654509104260881E-2</v>
      </c>
      <c r="AK387" s="10">
        <v>0.28134198085347795</v>
      </c>
      <c r="AL387" s="10">
        <v>5.6038212669199547E-2</v>
      </c>
      <c r="AM387" s="10">
        <v>1.4521547095685716E-2</v>
      </c>
      <c r="AN387" s="10">
        <v>9.0154998640938497E-2</v>
      </c>
      <c r="AO387" s="10" t="s">
        <v>114</v>
      </c>
      <c r="AP387" s="10">
        <v>9.8075959160835363E-2</v>
      </c>
      <c r="AQ387" s="10" t="s">
        <v>114</v>
      </c>
      <c r="AR387" s="10">
        <v>0.10856709298789974</v>
      </c>
      <c r="AS387" s="10">
        <v>1.8058231625751483E-2</v>
      </c>
      <c r="AT387" s="10">
        <v>0.13981379050368567</v>
      </c>
      <c r="AU387" s="10">
        <v>2.2034530214298301E-2</v>
      </c>
      <c r="AV387" s="10">
        <v>1.3286813961058859</v>
      </c>
      <c r="AW387" s="10">
        <v>22.25994637932677</v>
      </c>
      <c r="AX387" s="10" t="s">
        <v>114</v>
      </c>
      <c r="AY387" s="10" t="s">
        <v>114</v>
      </c>
      <c r="AZ387" s="10">
        <v>19.881984470285264</v>
      </c>
      <c r="BA387" s="10">
        <v>17.801158282551892</v>
      </c>
      <c r="BB387" s="10">
        <v>18.460098419940486</v>
      </c>
      <c r="BC387" s="10">
        <v>0.33242128879158023</v>
      </c>
      <c r="BD387" s="10">
        <v>8.3022371214541515</v>
      </c>
    </row>
    <row r="388" spans="1:56" x14ac:dyDescent="0.3">
      <c r="A388" t="s">
        <v>473</v>
      </c>
      <c r="B388" t="s">
        <v>432</v>
      </c>
      <c r="C388" s="10">
        <v>8172.0564898858984</v>
      </c>
      <c r="D388" s="10">
        <v>2146.0889805603197</v>
      </c>
      <c r="E388" s="10">
        <v>180.43590213788639</v>
      </c>
      <c r="F388" s="10">
        <v>231059.38349762751</v>
      </c>
      <c r="G388" s="10">
        <v>820.93832810513879</v>
      </c>
      <c r="H388" s="10">
        <v>583891.52951980126</v>
      </c>
      <c r="I388" s="10">
        <v>597185.97909707844</v>
      </c>
      <c r="J388" s="10">
        <v>5.4286647206932104</v>
      </c>
      <c r="K388" s="10">
        <v>6.9436543706448104</v>
      </c>
      <c r="L388" s="10">
        <v>4.1119360570347991</v>
      </c>
      <c r="M388" s="10">
        <v>253.55319857469973</v>
      </c>
      <c r="N388" s="10">
        <v>2162.5679985487059</v>
      </c>
      <c r="O388" s="10">
        <v>2182.2781853608221</v>
      </c>
      <c r="P388" s="10">
        <v>33.215466596688074</v>
      </c>
      <c r="Q388" s="10">
        <v>125.53115798298494</v>
      </c>
      <c r="R388" s="10">
        <v>8.7378498826155795</v>
      </c>
      <c r="S388" s="10">
        <v>8.9846203759271486</v>
      </c>
      <c r="T388" s="10">
        <v>327.78436418645754</v>
      </c>
      <c r="U388" s="10">
        <v>325.2134453526121</v>
      </c>
      <c r="V388" s="10">
        <v>8.5043554731746873</v>
      </c>
      <c r="W388" s="10" t="s">
        <v>114</v>
      </c>
      <c r="X388" s="10">
        <v>1.2026263771034349</v>
      </c>
      <c r="Y388" s="10">
        <v>2184.0293195887939</v>
      </c>
      <c r="Z388" s="10">
        <v>7.8989346927988802</v>
      </c>
      <c r="AA388" s="10">
        <v>2.2000787968124391</v>
      </c>
      <c r="AB388" s="10">
        <v>2.3032560041671459</v>
      </c>
      <c r="AC388" s="10">
        <v>0.49610516960477058</v>
      </c>
      <c r="AD388" s="10" t="s">
        <v>114</v>
      </c>
      <c r="AE388" s="10">
        <v>3.6429721525792438</v>
      </c>
      <c r="AF388" s="10">
        <v>8.8334063932825301E-3</v>
      </c>
      <c r="AG388" s="10">
        <v>163.93534116816429</v>
      </c>
      <c r="AH388" s="10">
        <v>5.1752033488593641E-2</v>
      </c>
      <c r="AI388" s="10" t="s">
        <v>114</v>
      </c>
      <c r="AJ388" s="10">
        <v>7.9877623500909066E-3</v>
      </c>
      <c r="AK388" s="10">
        <v>3.6593208216140607E-2</v>
      </c>
      <c r="AL388" s="10">
        <v>1.8367563519250948E-2</v>
      </c>
      <c r="AM388" s="10" t="s">
        <v>114</v>
      </c>
      <c r="AN388" s="10" t="s">
        <v>114</v>
      </c>
      <c r="AO388" s="10" t="s">
        <v>114</v>
      </c>
      <c r="AP388" s="10">
        <v>1.5689274315473522E-2</v>
      </c>
      <c r="AQ388" s="10" t="s">
        <v>114</v>
      </c>
      <c r="AR388" s="10">
        <v>1.5149382606739904E-2</v>
      </c>
      <c r="AS388" s="10">
        <v>3.2462827108384711E-3</v>
      </c>
      <c r="AT388" s="10">
        <v>2.7573577893532625E-2</v>
      </c>
      <c r="AU388" s="10">
        <v>4.7491265416529493E-3</v>
      </c>
      <c r="AV388" s="10">
        <v>2.1748818409616328</v>
      </c>
      <c r="AW388" s="10">
        <v>22.665023342692731</v>
      </c>
      <c r="AX388" s="10" t="s">
        <v>114</v>
      </c>
      <c r="AY388" s="10" t="s">
        <v>114</v>
      </c>
      <c r="AZ388" s="10">
        <v>4.9263763420579281</v>
      </c>
      <c r="BA388" s="10">
        <v>4.3430623299736517</v>
      </c>
      <c r="BB388" s="10">
        <v>4.4996535788141276</v>
      </c>
      <c r="BC388" s="10">
        <v>0.19699144635978355</v>
      </c>
      <c r="BD388" s="10">
        <v>675.2907656884995</v>
      </c>
    </row>
    <row r="389" spans="1:56" x14ac:dyDescent="0.3">
      <c r="A389" t="s">
        <v>474</v>
      </c>
      <c r="B389" t="s">
        <v>432</v>
      </c>
      <c r="C389" s="10">
        <v>4913.3845255940987</v>
      </c>
      <c r="D389" s="10">
        <v>1537.7718076562624</v>
      </c>
      <c r="E389" s="10">
        <v>126.51170287651131</v>
      </c>
      <c r="F389" s="10">
        <v>148382.80997882562</v>
      </c>
      <c r="G389" s="10">
        <v>408.51498110132951</v>
      </c>
      <c r="H389" s="10">
        <v>372480.12099472998</v>
      </c>
      <c r="I389" s="10">
        <v>384302.69916301547</v>
      </c>
      <c r="J389" s="10">
        <v>12.498605423580051</v>
      </c>
      <c r="K389" s="10">
        <v>5.8754725493652451</v>
      </c>
      <c r="L389" s="10">
        <v>25.503815641926963</v>
      </c>
      <c r="M389" s="10">
        <v>243.21924480600006</v>
      </c>
      <c r="N389" s="10">
        <v>1053.6212394029792</v>
      </c>
      <c r="O389" s="10">
        <v>1049.0043613133671</v>
      </c>
      <c r="P389" s="10">
        <v>0.27218509886321784</v>
      </c>
      <c r="Q389" s="10">
        <v>8.0398314177321115</v>
      </c>
      <c r="R389" s="10">
        <v>43.917486520787435</v>
      </c>
      <c r="S389" s="10">
        <v>45.25132364085254</v>
      </c>
      <c r="T389" s="10">
        <v>137.41181749240192</v>
      </c>
      <c r="U389" s="10">
        <v>135.76256594954245</v>
      </c>
      <c r="V389" s="10">
        <v>7.4395856300134193</v>
      </c>
      <c r="W389" s="10" t="s">
        <v>114</v>
      </c>
      <c r="X389" s="10">
        <v>0.58385986841456883</v>
      </c>
      <c r="Y389" s="10">
        <v>1977.5980430464499</v>
      </c>
      <c r="Z389" s="10">
        <v>9.2620428885426627</v>
      </c>
      <c r="AA389" s="10">
        <v>0.61903215912470422</v>
      </c>
      <c r="AB389" s="10">
        <v>0.71838065133859319</v>
      </c>
      <c r="AC389" s="10">
        <v>0.1461757765044196</v>
      </c>
      <c r="AD389" s="10" t="s">
        <v>114</v>
      </c>
      <c r="AE389" s="10">
        <v>0.67437469221123059</v>
      </c>
      <c r="AF389" s="10">
        <v>5.081561370872005E-3</v>
      </c>
      <c r="AG389" s="10">
        <v>143.88481663742556</v>
      </c>
      <c r="AH389" s="10">
        <v>0.78905487706995037</v>
      </c>
      <c r="AI389" s="10">
        <v>0.92858382788095895</v>
      </c>
      <c r="AJ389" s="10">
        <v>7.7429810459381007E-2</v>
      </c>
      <c r="AK389" s="10">
        <v>0.37014685708771905</v>
      </c>
      <c r="AL389" s="10">
        <v>7.231794957281433E-2</v>
      </c>
      <c r="AM389" s="10">
        <v>1.868896027041346E-2</v>
      </c>
      <c r="AN389" s="10">
        <v>0.1228871554787709</v>
      </c>
      <c r="AO389" s="10" t="s">
        <v>114</v>
      </c>
      <c r="AP389" s="10">
        <v>0.16434874048254541</v>
      </c>
      <c r="AQ389" s="10">
        <v>4.1947157515670977E-2</v>
      </c>
      <c r="AR389" s="10">
        <v>0.19244334216637971</v>
      </c>
      <c r="AS389" s="10">
        <v>3.7236672595989166E-2</v>
      </c>
      <c r="AT389" s="10">
        <v>0.27656448211226359</v>
      </c>
      <c r="AU389" s="10">
        <v>4.3921103546336604E-2</v>
      </c>
      <c r="AV389" s="10">
        <v>1.0429293823209551</v>
      </c>
      <c r="AW389" s="10">
        <v>21.830760430325505</v>
      </c>
      <c r="AX389" s="10" t="s">
        <v>114</v>
      </c>
      <c r="AY389" s="10" t="s">
        <v>114</v>
      </c>
      <c r="AZ389" s="10">
        <v>85.309385289895729</v>
      </c>
      <c r="BA389" s="10">
        <v>77.109336312276596</v>
      </c>
      <c r="BB389" s="10">
        <v>79.36770218701237</v>
      </c>
      <c r="BC389" s="10" t="s">
        <v>114</v>
      </c>
      <c r="BD389" s="10">
        <v>26.068502819643903</v>
      </c>
    </row>
    <row r="390" spans="1:56" x14ac:dyDescent="0.3">
      <c r="A390" t="s">
        <v>475</v>
      </c>
      <c r="B390" t="s">
        <v>432</v>
      </c>
      <c r="C390" s="10">
        <v>2925.1712457032522</v>
      </c>
      <c r="D390" s="10">
        <v>1726.6254850179798</v>
      </c>
      <c r="E390" s="10">
        <v>178.74963358491115</v>
      </c>
      <c r="F390" s="10">
        <v>130028.00030309461</v>
      </c>
      <c r="G390" s="10">
        <v>270.87648671539944</v>
      </c>
      <c r="H390" s="10">
        <v>329035.11861178948</v>
      </c>
      <c r="I390" s="10">
        <v>340314.40505942126</v>
      </c>
      <c r="J390" s="10" t="s">
        <v>114</v>
      </c>
      <c r="K390" s="10">
        <v>17.241272663719577</v>
      </c>
      <c r="L390" s="10">
        <v>43.817626174171849</v>
      </c>
      <c r="M390" s="10">
        <v>258.52821228268618</v>
      </c>
      <c r="N390" s="10">
        <v>2926.3749653243476</v>
      </c>
      <c r="O390" s="10">
        <v>2952.3609657148877</v>
      </c>
      <c r="P390" s="10">
        <v>1.7767952435430612</v>
      </c>
      <c r="Q390" s="10">
        <v>3.6836822585974502</v>
      </c>
      <c r="R390" s="10">
        <v>49.081838447456683</v>
      </c>
      <c r="S390" s="10">
        <v>50.07770081126688</v>
      </c>
      <c r="T390" s="10">
        <v>131.29290577182817</v>
      </c>
      <c r="U390" s="10">
        <v>129.38311042200996</v>
      </c>
      <c r="V390" s="10">
        <v>10.689223698835441</v>
      </c>
      <c r="W390" s="10" t="s">
        <v>114</v>
      </c>
      <c r="X390" s="10">
        <v>0.37068714696868216</v>
      </c>
      <c r="Y390" s="10">
        <v>1647.8694883850324</v>
      </c>
      <c r="Z390" s="10">
        <v>5.9726382082127945</v>
      </c>
      <c r="AA390" s="10">
        <v>0.65744571220918702</v>
      </c>
      <c r="AB390" s="10">
        <v>0.64412827566248765</v>
      </c>
      <c r="AC390" s="10">
        <v>0.17694917329351223</v>
      </c>
      <c r="AD390" s="10" t="s">
        <v>114</v>
      </c>
      <c r="AE390" s="10">
        <v>0.76129731077671081</v>
      </c>
      <c r="AF390" s="10">
        <v>4.5602000846382117E-3</v>
      </c>
      <c r="AG390" s="10">
        <v>97.790872493847857</v>
      </c>
      <c r="AH390" s="10">
        <v>0.17678944333821625</v>
      </c>
      <c r="AI390" s="10">
        <v>0.31089811323166833</v>
      </c>
      <c r="AJ390" s="10">
        <v>2.2058637774602135E-2</v>
      </c>
      <c r="AK390" s="10">
        <v>0.11675504545212519</v>
      </c>
      <c r="AL390" s="10" t="s">
        <v>114</v>
      </c>
      <c r="AM390" s="10" t="s">
        <v>114</v>
      </c>
      <c r="AN390" s="10">
        <v>2.7482562933229121E-2</v>
      </c>
      <c r="AO390" s="10" t="s">
        <v>114</v>
      </c>
      <c r="AP390" s="10">
        <v>3.2783331722108504E-2</v>
      </c>
      <c r="AQ390" s="10" t="s">
        <v>114</v>
      </c>
      <c r="AR390" s="10">
        <v>2.1362620107456907E-2</v>
      </c>
      <c r="AS390" s="10">
        <v>4.6420457897563584E-3</v>
      </c>
      <c r="AT390" s="10">
        <v>3.8029184659300865E-2</v>
      </c>
      <c r="AU390" s="10">
        <v>6.2539492349654707E-3</v>
      </c>
      <c r="AV390" s="10">
        <v>0.80939295279257717</v>
      </c>
      <c r="AW390" s="10">
        <v>23.205533843241113</v>
      </c>
      <c r="AX390" s="10" t="s">
        <v>114</v>
      </c>
      <c r="AY390" s="10" t="s">
        <v>114</v>
      </c>
      <c r="AZ390" s="10">
        <v>15.592701619004359</v>
      </c>
      <c r="BA390" s="10">
        <v>14.121038411719631</v>
      </c>
      <c r="BB390" s="10">
        <v>14.447871721422198</v>
      </c>
      <c r="BC390" s="10" t="s">
        <v>114</v>
      </c>
      <c r="BD390" s="10">
        <v>15.380235983105578</v>
      </c>
    </row>
    <row r="391" spans="1:56" x14ac:dyDescent="0.3">
      <c r="A391" t="s">
        <v>476</v>
      </c>
      <c r="B391" t="s">
        <v>432</v>
      </c>
      <c r="C391" s="10">
        <v>3419.4733773725316</v>
      </c>
      <c r="D391" s="10">
        <v>964.68708977420044</v>
      </c>
      <c r="E391" s="10">
        <v>178.55258899238871</v>
      </c>
      <c r="F391" s="10">
        <v>106972.40726331792</v>
      </c>
      <c r="G391" s="10">
        <v>348.0077757030889</v>
      </c>
      <c r="H391" s="10">
        <v>265107.55234554166</v>
      </c>
      <c r="I391" s="10">
        <v>272020.97393279901</v>
      </c>
      <c r="J391" s="10">
        <v>7.0850547629503646</v>
      </c>
      <c r="K391" s="10">
        <v>4.499938863490927</v>
      </c>
      <c r="L391" s="10">
        <v>14.753316884215662</v>
      </c>
      <c r="M391" s="10">
        <v>133.99475437072621</v>
      </c>
      <c r="N391" s="10">
        <v>484.84556349460917</v>
      </c>
      <c r="O391" s="10">
        <v>505.84336847862949</v>
      </c>
      <c r="P391" s="10">
        <v>0.41073163314871092</v>
      </c>
      <c r="Q391" s="10">
        <v>3.9748776290779864</v>
      </c>
      <c r="R391" s="10">
        <v>25.547658580133653</v>
      </c>
      <c r="S391" s="10">
        <v>25.934245575405452</v>
      </c>
      <c r="T391" s="10">
        <v>74.883049923249672</v>
      </c>
      <c r="U391" s="10">
        <v>75.55567719750573</v>
      </c>
      <c r="V391" s="10">
        <v>3.8591038303605711</v>
      </c>
      <c r="W391" s="10" t="s">
        <v>114</v>
      </c>
      <c r="X391" s="10">
        <v>0.47358422424121954</v>
      </c>
      <c r="Y391" s="10">
        <v>1012.7242215123312</v>
      </c>
      <c r="Z391" s="10">
        <v>2.6031193211808961</v>
      </c>
      <c r="AA391" s="10">
        <v>0.53389805438975269</v>
      </c>
      <c r="AB391" s="10">
        <v>0.42916525425263302</v>
      </c>
      <c r="AC391" s="10" t="s">
        <v>114</v>
      </c>
      <c r="AD391" s="10" t="s">
        <v>114</v>
      </c>
      <c r="AE391" s="10">
        <v>0.79112811332679223</v>
      </c>
      <c r="AF391" s="10">
        <v>7.4065064358490862E-3</v>
      </c>
      <c r="AG391" s="10">
        <v>76.308537701452906</v>
      </c>
      <c r="AH391" s="10">
        <v>0.2874216715035412</v>
      </c>
      <c r="AI391" s="10">
        <v>0.54207614889887701</v>
      </c>
      <c r="AJ391" s="10">
        <v>5.6213049220885158E-2</v>
      </c>
      <c r="AK391" s="10">
        <v>0.24665220423202036</v>
      </c>
      <c r="AL391" s="10">
        <v>3.6160642766884792E-2</v>
      </c>
      <c r="AM391" s="10">
        <v>1.1803464941435906E-2</v>
      </c>
      <c r="AN391" s="10">
        <v>5.9342786102053131E-2</v>
      </c>
      <c r="AO391" s="10" t="s">
        <v>114</v>
      </c>
      <c r="AP391" s="10">
        <v>6.2267724639876509E-2</v>
      </c>
      <c r="AQ391" s="10" t="s">
        <v>114</v>
      </c>
      <c r="AR391" s="10">
        <v>5.7654370164931662E-2</v>
      </c>
      <c r="AS391" s="10">
        <v>8.3914058054580468E-3</v>
      </c>
      <c r="AT391" s="10">
        <v>6.384148974284401E-2</v>
      </c>
      <c r="AU391" s="10">
        <v>9.1668134492295227E-3</v>
      </c>
      <c r="AV391" s="10">
        <v>0.29953034470057199</v>
      </c>
      <c r="AW391" s="10">
        <v>22.220010570659369</v>
      </c>
      <c r="AX391" s="10" t="s">
        <v>114</v>
      </c>
      <c r="AY391" s="10" t="s">
        <v>114</v>
      </c>
      <c r="AZ391" s="10">
        <v>107.46923779013071</v>
      </c>
      <c r="BA391" s="10">
        <v>96.942919586729928</v>
      </c>
      <c r="BB391" s="10">
        <v>100.00251505411968</v>
      </c>
      <c r="BC391" s="10" t="s">
        <v>114</v>
      </c>
      <c r="BD391" s="10">
        <v>11.16264423962809</v>
      </c>
    </row>
    <row r="392" spans="1:56" x14ac:dyDescent="0.3">
      <c r="A392" t="s">
        <v>477</v>
      </c>
      <c r="B392" t="s">
        <v>432</v>
      </c>
      <c r="C392" s="10">
        <v>4820.8759615239887</v>
      </c>
      <c r="D392" s="10">
        <v>2666.9919862552438</v>
      </c>
      <c r="E392" s="10">
        <v>581.67362628391288</v>
      </c>
      <c r="F392" s="10">
        <v>147450.43092306983</v>
      </c>
      <c r="G392" s="10">
        <v>210.41317487366206</v>
      </c>
      <c r="H392" s="10">
        <v>377566.92889953079</v>
      </c>
      <c r="I392" s="10">
        <v>393948.28687733848</v>
      </c>
      <c r="J392" s="10">
        <v>12.717134884935087</v>
      </c>
      <c r="K392" s="10">
        <v>15.528741038912418</v>
      </c>
      <c r="L392" s="10">
        <v>26.305443934356106</v>
      </c>
      <c r="M392" s="10">
        <v>347.22142776609979</v>
      </c>
      <c r="N392" s="10">
        <v>603.78475512608202</v>
      </c>
      <c r="O392" s="10">
        <v>608.82656692316175</v>
      </c>
      <c r="P392" s="10">
        <v>0.62279630393597829</v>
      </c>
      <c r="Q392" s="10">
        <v>5.9389913798818936</v>
      </c>
      <c r="R392" s="10">
        <v>9.8968822329750843</v>
      </c>
      <c r="S392" s="10">
        <v>10.405586580461861</v>
      </c>
      <c r="T392" s="10">
        <v>107.0803666054984</v>
      </c>
      <c r="U392" s="10">
        <v>119.66155063111854</v>
      </c>
      <c r="V392" s="10">
        <v>6.1618925387670052</v>
      </c>
      <c r="W392" s="10" t="s">
        <v>114</v>
      </c>
      <c r="X392" s="10">
        <v>0.46562922853499711</v>
      </c>
      <c r="Y392" s="10">
        <v>2236.5924957661405</v>
      </c>
      <c r="Z392" s="10">
        <v>5.0948065208379676</v>
      </c>
      <c r="AA392" s="10">
        <v>1.3890753973031174</v>
      </c>
      <c r="AB392" s="10">
        <v>1.3940684528666143</v>
      </c>
      <c r="AC392" s="10">
        <v>4.9025977844818942E-2</v>
      </c>
      <c r="AD392" s="10" t="s">
        <v>114</v>
      </c>
      <c r="AE392" s="10">
        <v>0.56198997609433965</v>
      </c>
      <c r="AF392" s="10">
        <v>4.474648774764123E-3</v>
      </c>
      <c r="AG392" s="10">
        <v>334.19481736958033</v>
      </c>
      <c r="AH392" s="10">
        <v>0.26880743180349986</v>
      </c>
      <c r="AI392" s="10">
        <v>0.60669800142657104</v>
      </c>
      <c r="AJ392" s="10">
        <v>5.8873489935378907E-2</v>
      </c>
      <c r="AK392" s="10">
        <v>0.26084128894432485</v>
      </c>
      <c r="AL392" s="10">
        <v>4.2490229947045606E-2</v>
      </c>
      <c r="AM392" s="10">
        <v>1.2912730590837845E-2</v>
      </c>
      <c r="AN392" s="10">
        <v>6.0349802354373511E-2</v>
      </c>
      <c r="AO392" s="10" t="s">
        <v>114</v>
      </c>
      <c r="AP392" s="10">
        <v>4.9087658707657231E-2</v>
      </c>
      <c r="AQ392" s="10" t="s">
        <v>114</v>
      </c>
      <c r="AR392" s="10">
        <v>2.5600110815301697E-2</v>
      </c>
      <c r="AS392" s="10">
        <v>4.609404915477803E-3</v>
      </c>
      <c r="AT392" s="10">
        <v>3.3746236366215369E-2</v>
      </c>
      <c r="AU392" s="10">
        <v>4.4445818715336295E-3</v>
      </c>
      <c r="AV392" s="10">
        <v>0.503311887379986</v>
      </c>
      <c r="AW392" s="10">
        <v>20.479720003963248</v>
      </c>
      <c r="AX392" s="10" t="s">
        <v>114</v>
      </c>
      <c r="AY392" s="10" t="s">
        <v>114</v>
      </c>
      <c r="AZ392" s="10">
        <v>14.953498429973362</v>
      </c>
      <c r="BA392" s="10">
        <v>13.463837661785583</v>
      </c>
      <c r="BB392" s="10">
        <v>13.870340781192844</v>
      </c>
      <c r="BC392" s="10" t="s">
        <v>114</v>
      </c>
      <c r="BD392" s="10">
        <v>23.570183628813663</v>
      </c>
    </row>
    <row r="393" spans="1:56" x14ac:dyDescent="0.3">
      <c r="A393" t="s">
        <v>478</v>
      </c>
      <c r="B393" t="s">
        <v>432</v>
      </c>
      <c r="C393" s="10">
        <v>5032.8355278028112</v>
      </c>
      <c r="D393" s="10">
        <v>2812.1201006163624</v>
      </c>
      <c r="E393" s="10">
        <v>1015.8410348650546</v>
      </c>
      <c r="F393" s="10">
        <v>159332.19513253638</v>
      </c>
      <c r="G393" s="10">
        <v>431.28820221494061</v>
      </c>
      <c r="H393" s="10">
        <v>395039.49640239024</v>
      </c>
      <c r="I393" s="10">
        <v>406695.38035778736</v>
      </c>
      <c r="J393" s="10">
        <v>29.282238016065424</v>
      </c>
      <c r="K393" s="10">
        <v>15.841652689145823</v>
      </c>
      <c r="L393" s="10">
        <v>27.488070540092789</v>
      </c>
      <c r="M393" s="10">
        <v>600.01884922194415</v>
      </c>
      <c r="N393" s="10">
        <v>722.68875706857807</v>
      </c>
      <c r="O393" s="10">
        <v>726.51248702097053</v>
      </c>
      <c r="P393" s="10">
        <v>0.72976799355771493</v>
      </c>
      <c r="Q393" s="10">
        <v>8.3638384656931493</v>
      </c>
      <c r="R393" s="10">
        <v>26.779374533581731</v>
      </c>
      <c r="S393" s="10">
        <v>27.441581988928554</v>
      </c>
      <c r="T393" s="10">
        <v>104.24992054408808</v>
      </c>
      <c r="U393" s="10">
        <v>106.841396510924</v>
      </c>
      <c r="V393" s="10">
        <v>6.3766525829199088</v>
      </c>
      <c r="W393" s="10" t="s">
        <v>114</v>
      </c>
      <c r="X393" s="10">
        <v>1.0134660139777734</v>
      </c>
      <c r="Y393" s="10">
        <v>1754.716372097068</v>
      </c>
      <c r="Z393" s="10">
        <v>9.8768497790099889</v>
      </c>
      <c r="AA393" s="10">
        <v>3.9116395290982391</v>
      </c>
      <c r="AB393" s="10">
        <v>3.8066228156503579</v>
      </c>
      <c r="AC393" s="10">
        <v>9.4876009814861842E-2</v>
      </c>
      <c r="AD393" s="10" t="s">
        <v>114</v>
      </c>
      <c r="AE393" s="10">
        <v>0.88200241192356921</v>
      </c>
      <c r="AF393" s="10">
        <v>1.2044269709780984E-2</v>
      </c>
      <c r="AG393" s="10">
        <v>126.92737892912324</v>
      </c>
      <c r="AH393" s="10">
        <v>0.61144096506400447</v>
      </c>
      <c r="AI393" s="10">
        <v>1.3431014931408187</v>
      </c>
      <c r="AJ393" s="10">
        <v>0.13899347189108402</v>
      </c>
      <c r="AK393" s="10">
        <v>0.53825042098261688</v>
      </c>
      <c r="AL393" s="10">
        <v>0.1242050403802675</v>
      </c>
      <c r="AM393" s="10">
        <v>2.892095438370413E-2</v>
      </c>
      <c r="AN393" s="10">
        <v>0.11886025637750856</v>
      </c>
      <c r="AO393" s="10" t="s">
        <v>114</v>
      </c>
      <c r="AP393" s="10">
        <v>0.1355475966590165</v>
      </c>
      <c r="AQ393" s="10" t="s">
        <v>114</v>
      </c>
      <c r="AR393" s="10">
        <v>9.3990843308330699E-2</v>
      </c>
      <c r="AS393" s="10">
        <v>1.2863873150311086E-2</v>
      </c>
      <c r="AT393" s="10">
        <v>0.11378973529530469</v>
      </c>
      <c r="AU393" s="10">
        <v>1.6046159077227611E-2</v>
      </c>
      <c r="AV393" s="10">
        <v>2.4500483620354867</v>
      </c>
      <c r="AW393" s="10">
        <v>21.675744460394316</v>
      </c>
      <c r="AX393" s="10" t="s">
        <v>114</v>
      </c>
      <c r="AY393" s="10" t="s">
        <v>114</v>
      </c>
      <c r="AZ393" s="10">
        <v>24.348732369780556</v>
      </c>
      <c r="BA393" s="10">
        <v>21.705611058439615</v>
      </c>
      <c r="BB393" s="10">
        <v>22.549134549247462</v>
      </c>
      <c r="BC393" s="10">
        <v>0.60837939934285756</v>
      </c>
      <c r="BD393" s="10">
        <v>31.484487130946334</v>
      </c>
    </row>
    <row r="394" spans="1:56" x14ac:dyDescent="0.3">
      <c r="A394" t="s">
        <v>479</v>
      </c>
      <c r="B394" t="s">
        <v>432</v>
      </c>
      <c r="C394" s="10">
        <v>3273.092270251183</v>
      </c>
      <c r="D394" s="10">
        <v>2109.0070811179467</v>
      </c>
      <c r="E394" s="10">
        <v>282.12690603531223</v>
      </c>
      <c r="F394" s="10">
        <v>125378.96353619015</v>
      </c>
      <c r="G394" s="10">
        <v>193.56680778208803</v>
      </c>
      <c r="H394" s="10">
        <v>316890.48329593876</v>
      </c>
      <c r="I394" s="10">
        <v>325377.96212330076</v>
      </c>
      <c r="J394" s="10">
        <v>11.603876934076908</v>
      </c>
      <c r="K394" s="10">
        <v>14.59334405072036</v>
      </c>
      <c r="L394" s="10">
        <v>29.995082749570631</v>
      </c>
      <c r="M394" s="10">
        <v>614.54273100415219</v>
      </c>
      <c r="N394" s="10">
        <v>405.40962424548229</v>
      </c>
      <c r="O394" s="10">
        <v>421.03305313985999</v>
      </c>
      <c r="P394" s="10">
        <v>0.85405909210185027</v>
      </c>
      <c r="Q394" s="10">
        <v>4.6254893656695684</v>
      </c>
      <c r="R394" s="10">
        <v>11.124397669805342</v>
      </c>
      <c r="S394" s="10">
        <v>11.375752358996621</v>
      </c>
      <c r="T394" s="10">
        <v>111.35140213121674</v>
      </c>
      <c r="U394" s="10">
        <v>117.47762360824281</v>
      </c>
      <c r="V394" s="10">
        <v>6.4258597216524089</v>
      </c>
      <c r="W394" s="10" t="s">
        <v>114</v>
      </c>
      <c r="X394" s="10">
        <v>0.28539389547752519</v>
      </c>
      <c r="Y394" s="10">
        <v>1593.9904333446277</v>
      </c>
      <c r="Z394" s="10">
        <v>6.8739677693346906</v>
      </c>
      <c r="AA394" s="10">
        <v>1.97851827845749</v>
      </c>
      <c r="AB394" s="10">
        <v>1.9486629004100426</v>
      </c>
      <c r="AC394" s="10">
        <v>0.10157424575026784</v>
      </c>
      <c r="AD394" s="10" t="s">
        <v>114</v>
      </c>
      <c r="AE394" s="10">
        <v>0.50238163402194547</v>
      </c>
      <c r="AF394" s="10">
        <v>4.1517563316880585E-3</v>
      </c>
      <c r="AG394" s="10">
        <v>240.17680311196972</v>
      </c>
      <c r="AH394" s="10">
        <v>0.2464138241576132</v>
      </c>
      <c r="AI394" s="10">
        <v>0.54956894219796704</v>
      </c>
      <c r="AJ394" s="10">
        <v>5.9160888788315207E-2</v>
      </c>
      <c r="AK394" s="10">
        <v>0.22099187117120786</v>
      </c>
      <c r="AL394" s="10">
        <v>4.1159672239515846E-2</v>
      </c>
      <c r="AM394" s="10">
        <v>1.0590626485699859E-2</v>
      </c>
      <c r="AN394" s="10">
        <v>4.94885716060098E-2</v>
      </c>
      <c r="AO394" s="10" t="s">
        <v>114</v>
      </c>
      <c r="AP394" s="10">
        <v>4.9275467306160288E-2</v>
      </c>
      <c r="AQ394" s="10" t="s">
        <v>114</v>
      </c>
      <c r="AR394" s="10">
        <v>3.1586667070863279E-2</v>
      </c>
      <c r="AS394" s="10">
        <v>4.8462399163802586E-3</v>
      </c>
      <c r="AT394" s="10">
        <v>4.6559478599318797E-2</v>
      </c>
      <c r="AU394" s="10">
        <v>5.9933530435227911E-3</v>
      </c>
      <c r="AV394" s="10">
        <v>1.3332274107301652</v>
      </c>
      <c r="AW394" s="10">
        <v>23.561659060974826</v>
      </c>
      <c r="AX394" s="10" t="s">
        <v>114</v>
      </c>
      <c r="AY394" s="10" t="s">
        <v>114</v>
      </c>
      <c r="AZ394" s="10">
        <v>23.079308849931266</v>
      </c>
      <c r="BA394" s="10">
        <v>20.556793515705913</v>
      </c>
      <c r="BB394" s="10">
        <v>21.40761110841138</v>
      </c>
      <c r="BC394" s="10">
        <v>0.14781389393726538</v>
      </c>
      <c r="BD394" s="10">
        <v>21.750622947607987</v>
      </c>
    </row>
    <row r="395" spans="1:56" x14ac:dyDescent="0.3">
      <c r="A395" t="s">
        <v>480</v>
      </c>
      <c r="B395" t="s">
        <v>432</v>
      </c>
      <c r="C395" s="10">
        <v>4729.1211852522247</v>
      </c>
      <c r="D395" s="10">
        <v>1804.2741294816499</v>
      </c>
      <c r="E395" s="10">
        <v>190.24903313532073</v>
      </c>
      <c r="F395" s="10">
        <v>154795.65814067167</v>
      </c>
      <c r="G395" s="10">
        <v>468.89072284304933</v>
      </c>
      <c r="H395" s="10">
        <v>392720.32858711219</v>
      </c>
      <c r="I395" s="10">
        <v>401519.3178577926</v>
      </c>
      <c r="J395" s="10">
        <v>10.940823286171565</v>
      </c>
      <c r="K395" s="10">
        <v>30.429987588618861</v>
      </c>
      <c r="L395" s="10">
        <v>47.569861734377149</v>
      </c>
      <c r="M395" s="10">
        <v>552.98679603792846</v>
      </c>
      <c r="N395" s="10">
        <v>6939.8312646826453</v>
      </c>
      <c r="O395" s="10">
        <v>7006.368942569422</v>
      </c>
      <c r="P395" s="10">
        <v>2.2983424387135658</v>
      </c>
      <c r="Q395" s="10">
        <v>12.221469152602563</v>
      </c>
      <c r="R395" s="10">
        <v>24.174485561626547</v>
      </c>
      <c r="S395" s="10">
        <v>25.013206912880438</v>
      </c>
      <c r="T395" s="10">
        <v>128.04855938416037</v>
      </c>
      <c r="U395" s="10">
        <v>133.19093628542956</v>
      </c>
      <c r="V395" s="10">
        <v>29.278495566842551</v>
      </c>
      <c r="W395" s="10">
        <v>17.856101962293369</v>
      </c>
      <c r="X395" s="10">
        <v>0.72935261326420375</v>
      </c>
      <c r="Y395" s="10">
        <v>1845.7529502971774</v>
      </c>
      <c r="Z395" s="10">
        <v>11.20656863004273</v>
      </c>
      <c r="AA395" s="10">
        <v>1.3716438614432664</v>
      </c>
      <c r="AB395" s="10">
        <v>1.1771707292867559</v>
      </c>
      <c r="AC395" s="10">
        <v>0.12130674424750069</v>
      </c>
      <c r="AD395" s="10" t="s">
        <v>114</v>
      </c>
      <c r="AE395" s="10">
        <v>1.2968420326565648</v>
      </c>
      <c r="AF395" s="10">
        <v>6.0272010734594766E-3</v>
      </c>
      <c r="AG395" s="10">
        <v>196.778750704093</v>
      </c>
      <c r="AH395" s="10">
        <v>1.1708669191579961</v>
      </c>
      <c r="AI395" s="10">
        <v>1.3857628712788301</v>
      </c>
      <c r="AJ395" s="10">
        <v>0.10978006263570619</v>
      </c>
      <c r="AK395" s="10">
        <v>0.55402336443367539</v>
      </c>
      <c r="AL395" s="10">
        <v>9.9369812974859265E-2</v>
      </c>
      <c r="AM395" s="10">
        <v>3.5081391134266504E-2</v>
      </c>
      <c r="AN395" s="10">
        <v>0.16958448394723638</v>
      </c>
      <c r="AO395" s="10" t="s">
        <v>114</v>
      </c>
      <c r="AP395" s="10">
        <v>0.25991702761988322</v>
      </c>
      <c r="AQ395" s="10">
        <v>6.4031610178142614E-2</v>
      </c>
      <c r="AR395" s="10">
        <v>0.29507369517397058</v>
      </c>
      <c r="AS395" s="10">
        <v>4.5417796093185296E-2</v>
      </c>
      <c r="AT395" s="10">
        <v>0.35056685502042662</v>
      </c>
      <c r="AU395" s="10">
        <v>6.7146928018476659E-2</v>
      </c>
      <c r="AV395" s="10">
        <v>1.0412201813510997</v>
      </c>
      <c r="AW395" s="10">
        <v>22.772843572838251</v>
      </c>
      <c r="AX395" s="10" t="s">
        <v>114</v>
      </c>
      <c r="AY395" s="10" t="s">
        <v>114</v>
      </c>
      <c r="AZ395" s="10">
        <v>45.657061832342862</v>
      </c>
      <c r="BA395" s="10">
        <v>41.309115563893982</v>
      </c>
      <c r="BB395" s="10">
        <v>42.539371823944961</v>
      </c>
      <c r="BC395" s="10" t="s">
        <v>114</v>
      </c>
      <c r="BD395" s="10">
        <v>19.556271884593556</v>
      </c>
    </row>
    <row r="396" spans="1:56" x14ac:dyDescent="0.3">
      <c r="A396" t="s">
        <v>481</v>
      </c>
      <c r="B396" t="s">
        <v>432</v>
      </c>
      <c r="C396" s="10">
        <v>4051.2777902184721</v>
      </c>
      <c r="D396" s="10">
        <v>2191.3682055422787</v>
      </c>
      <c r="E396" s="10">
        <v>178.62877451783419</v>
      </c>
      <c r="F396" s="10">
        <v>124939.33313142783</v>
      </c>
      <c r="G396" s="10">
        <v>399.95082603721534</v>
      </c>
      <c r="H396" s="10">
        <v>318752.10642748344</v>
      </c>
      <c r="I396" s="10">
        <v>329429.64469923952</v>
      </c>
      <c r="J396" s="10">
        <v>5.6791417434788434</v>
      </c>
      <c r="K396" s="10">
        <v>8.5752879194912666</v>
      </c>
      <c r="L396" s="10">
        <v>22.884506950246514</v>
      </c>
      <c r="M396" s="10">
        <v>339.5011167692972</v>
      </c>
      <c r="N396" s="10">
        <v>227.53364543895586</v>
      </c>
      <c r="O396" s="10">
        <v>218.34813593874767</v>
      </c>
      <c r="P396" s="10">
        <v>0.95240879865783634</v>
      </c>
      <c r="Q396" s="10">
        <v>8.3407623306013381</v>
      </c>
      <c r="R396" s="10">
        <v>42.349558420076924</v>
      </c>
      <c r="S396" s="10">
        <v>43.660938341434324</v>
      </c>
      <c r="T396" s="10">
        <v>99.731443488060762</v>
      </c>
      <c r="U396" s="10">
        <v>99.998384520918478</v>
      </c>
      <c r="V396" s="10">
        <v>3.3330922800788194</v>
      </c>
      <c r="W396" s="10" t="s">
        <v>114</v>
      </c>
      <c r="X396" s="10">
        <v>0.54369187567066524</v>
      </c>
      <c r="Y396" s="10">
        <v>1656.0637204180298</v>
      </c>
      <c r="Z396" s="10">
        <v>6.702128850654967</v>
      </c>
      <c r="AA396" s="10">
        <v>1.2598245748043115</v>
      </c>
      <c r="AB396" s="10">
        <v>1.1162219841746737</v>
      </c>
      <c r="AC396" s="10" t="s">
        <v>114</v>
      </c>
      <c r="AD396" s="10" t="s">
        <v>114</v>
      </c>
      <c r="AE396" s="10">
        <v>0.88058783151428099</v>
      </c>
      <c r="AF396" s="10">
        <v>6.5211167249006876E-3</v>
      </c>
      <c r="AG396" s="10">
        <v>99.679432640043089</v>
      </c>
      <c r="AH396" s="10">
        <v>0.11524338916875794</v>
      </c>
      <c r="AI396" s="10">
        <v>0.22619267238528862</v>
      </c>
      <c r="AJ396" s="10">
        <v>1.7682732752668344E-2</v>
      </c>
      <c r="AK396" s="10">
        <v>8.3004349698014276E-2</v>
      </c>
      <c r="AL396" s="10" t="s">
        <v>114</v>
      </c>
      <c r="AM396" s="10" t="s">
        <v>114</v>
      </c>
      <c r="AN396" s="10">
        <v>1.7085304085338281E-2</v>
      </c>
      <c r="AO396" s="10" t="s">
        <v>114</v>
      </c>
      <c r="AP396" s="10">
        <v>2.4383374701976337E-2</v>
      </c>
      <c r="AQ396" s="10" t="s">
        <v>114</v>
      </c>
      <c r="AR396" s="10">
        <v>2.5414508242118598E-2</v>
      </c>
      <c r="AS396" s="10">
        <v>3.0556734242253619E-3</v>
      </c>
      <c r="AT396" s="10">
        <v>3.3342841833439912E-2</v>
      </c>
      <c r="AU396" s="10">
        <v>5.1214837903870297E-3</v>
      </c>
      <c r="AV396" s="10">
        <v>0.61085483821263953</v>
      </c>
      <c r="AW396" s="10">
        <v>21.218422144609754</v>
      </c>
      <c r="AX396" s="10" t="s">
        <v>114</v>
      </c>
      <c r="AY396" s="10" t="s">
        <v>114</v>
      </c>
      <c r="AZ396" s="10">
        <v>36.084855245083332</v>
      </c>
      <c r="BA396" s="10">
        <v>32.338110604108472</v>
      </c>
      <c r="BB396" s="10">
        <v>33.547640054662871</v>
      </c>
      <c r="BC396" s="10" t="s">
        <v>114</v>
      </c>
      <c r="BD396" s="10">
        <v>43.606846199697621</v>
      </c>
    </row>
    <row r="397" spans="1:56" x14ac:dyDescent="0.3">
      <c r="A397" t="s">
        <v>482</v>
      </c>
      <c r="B397" t="s">
        <v>432</v>
      </c>
      <c r="C397" s="10">
        <v>4064.8128968387196</v>
      </c>
      <c r="D397" s="10">
        <v>1433.2815659831651</v>
      </c>
      <c r="E397" s="10">
        <v>76.853454980131943</v>
      </c>
      <c r="F397" s="10">
        <v>114156.04595762286</v>
      </c>
      <c r="G397" s="10">
        <v>212.16519337241587</v>
      </c>
      <c r="H397" s="10">
        <v>290197.06155728898</v>
      </c>
      <c r="I397" s="10">
        <v>297539.32600602199</v>
      </c>
      <c r="J397" s="10" t="s">
        <v>114</v>
      </c>
      <c r="K397" s="10">
        <v>17.952197355625106</v>
      </c>
      <c r="L397" s="10">
        <v>10.441462969245171</v>
      </c>
      <c r="M397" s="10">
        <v>113.63647882582049</v>
      </c>
      <c r="N397" s="10">
        <v>1713.3759391535025</v>
      </c>
      <c r="O397" s="10">
        <v>1735.0319369051504</v>
      </c>
      <c r="P397" s="10">
        <v>0.72914344442297141</v>
      </c>
      <c r="Q397" s="10">
        <v>13.019969922446011</v>
      </c>
      <c r="R397" s="10">
        <v>17.355652686399658</v>
      </c>
      <c r="S397" s="10">
        <v>17.682372401911461</v>
      </c>
      <c r="T397" s="10">
        <v>102.21918288166962</v>
      </c>
      <c r="U397" s="10">
        <v>103.15423883421539</v>
      </c>
      <c r="V397" s="10">
        <v>21.607652066001297</v>
      </c>
      <c r="W397" s="10" t="s">
        <v>114</v>
      </c>
      <c r="X397" s="10">
        <v>0.38555181029492636</v>
      </c>
      <c r="Y397" s="10">
        <v>1175.737434989609</v>
      </c>
      <c r="Z397" s="10">
        <v>1.779002627383756</v>
      </c>
      <c r="AA397" s="10">
        <v>0.57368296629686655</v>
      </c>
      <c r="AB397" s="10">
        <v>0.50865914044393401</v>
      </c>
      <c r="AC397" s="10" t="s">
        <v>114</v>
      </c>
      <c r="AD397" s="10" t="s">
        <v>114</v>
      </c>
      <c r="AE397" s="10">
        <v>3.3174547605849738</v>
      </c>
      <c r="AF397" s="10">
        <v>3.1284484369053516E-3</v>
      </c>
      <c r="AG397" s="10">
        <v>79.274708243314237</v>
      </c>
      <c r="AH397" s="10">
        <v>6.9086038894297153E-2</v>
      </c>
      <c r="AI397" s="10">
        <v>8.8378419118261026E-2</v>
      </c>
      <c r="AJ397" s="10">
        <v>9.0196487703385723E-3</v>
      </c>
      <c r="AK397" s="10">
        <v>3.7077479810194422E-2</v>
      </c>
      <c r="AL397" s="10" t="s">
        <v>114</v>
      </c>
      <c r="AM397" s="10" t="s">
        <v>114</v>
      </c>
      <c r="AN397" s="10">
        <v>8.7200640808315962E-3</v>
      </c>
      <c r="AO397" s="10" t="s">
        <v>114</v>
      </c>
      <c r="AP397" s="10">
        <v>1.5993988581362716E-2</v>
      </c>
      <c r="AQ397" s="10" t="s">
        <v>114</v>
      </c>
      <c r="AR397" s="10" t="s">
        <v>114</v>
      </c>
      <c r="AS397" s="10" t="s">
        <v>114</v>
      </c>
      <c r="AT397" s="10">
        <v>2.1807168925260655E-2</v>
      </c>
      <c r="AU397" s="10" t="s">
        <v>114</v>
      </c>
      <c r="AV397" s="10">
        <v>0.20810890962844197</v>
      </c>
      <c r="AW397" s="10">
        <v>22.510350917538723</v>
      </c>
      <c r="AX397" s="10" t="s">
        <v>114</v>
      </c>
      <c r="AY397" s="10" t="s">
        <v>114</v>
      </c>
      <c r="AZ397" s="10">
        <v>4.8944895535608861</v>
      </c>
      <c r="BA397" s="10">
        <v>4.3297437935031953</v>
      </c>
      <c r="BB397" s="10">
        <v>4.5107048323742074</v>
      </c>
      <c r="BC397" s="10" t="s">
        <v>114</v>
      </c>
      <c r="BD397" s="10">
        <v>34.955744197491775</v>
      </c>
    </row>
    <row r="398" spans="1:56" x14ac:dyDescent="0.3">
      <c r="A398" t="s">
        <v>483</v>
      </c>
      <c r="B398" t="s">
        <v>484</v>
      </c>
      <c r="C398" s="10">
        <v>6800.3524335068723</v>
      </c>
      <c r="D398" s="10">
        <v>3061.4264123943217</v>
      </c>
      <c r="E398" s="10">
        <v>92.59269046444895</v>
      </c>
      <c r="F398" s="10">
        <v>146431.37425898766</v>
      </c>
      <c r="G398" s="10">
        <v>227.54005179293239</v>
      </c>
      <c r="H398" s="10">
        <v>335403.00501314743</v>
      </c>
      <c r="I398" s="10">
        <v>339503.56492379121</v>
      </c>
      <c r="J398" s="10">
        <v>40.031288682072926</v>
      </c>
      <c r="K398" s="10">
        <v>0.49384413189058718</v>
      </c>
      <c r="L398" s="10">
        <v>1.8440142793918588</v>
      </c>
      <c r="M398" s="10">
        <v>42.791764220229894</v>
      </c>
      <c r="N398" s="10">
        <v>50.006640020892107</v>
      </c>
      <c r="O398" s="10">
        <v>55.130561512036607</v>
      </c>
      <c r="P398" s="10" t="s">
        <v>114</v>
      </c>
      <c r="Q398" s="10">
        <v>37.259605324932316</v>
      </c>
      <c r="R398" s="10" t="s">
        <v>114</v>
      </c>
      <c r="S398" s="10" t="s">
        <v>114</v>
      </c>
      <c r="T398" s="10">
        <v>117.35494660930127</v>
      </c>
      <c r="U398" s="10">
        <v>114.49559114443343</v>
      </c>
      <c r="V398" s="10" t="s">
        <v>114</v>
      </c>
      <c r="W398" s="10" t="s">
        <v>114</v>
      </c>
      <c r="X398" s="10" t="s">
        <v>114</v>
      </c>
      <c r="Y398" s="10">
        <v>238.21594894081124</v>
      </c>
      <c r="Z398" s="10" t="s">
        <v>114</v>
      </c>
      <c r="AA398" s="10">
        <v>1.0250153637736377</v>
      </c>
      <c r="AB398" s="10">
        <v>0.95599327420457914</v>
      </c>
      <c r="AC398" s="10" t="s">
        <v>114</v>
      </c>
      <c r="AD398" s="10" t="s">
        <v>114</v>
      </c>
      <c r="AE398" s="10" t="s">
        <v>114</v>
      </c>
      <c r="AF398" s="10">
        <v>2.8721186432912305E-3</v>
      </c>
      <c r="AG398" s="10">
        <v>8.6166667910582166</v>
      </c>
      <c r="AH398" s="10">
        <v>9.4354162810360742E-2</v>
      </c>
      <c r="AI398" s="10">
        <v>0.19713511372322562</v>
      </c>
      <c r="AJ398" s="10">
        <v>2.2638019900746091E-2</v>
      </c>
      <c r="AK398" s="10">
        <v>0.10945664970037648</v>
      </c>
      <c r="AL398" s="10">
        <v>2.8821111781159432E-2</v>
      </c>
      <c r="AM398" s="10" t="s">
        <v>114</v>
      </c>
      <c r="AN398" s="10">
        <v>1.8900793974683586E-2</v>
      </c>
      <c r="AO398" s="10" t="s">
        <v>114</v>
      </c>
      <c r="AP398" s="10">
        <v>2.4962502360594146E-2</v>
      </c>
      <c r="AQ398" s="10" t="s">
        <v>114</v>
      </c>
      <c r="AR398" s="10">
        <v>1.0931645480222766E-2</v>
      </c>
      <c r="AS398" s="10" t="s">
        <v>114</v>
      </c>
      <c r="AT398" s="10" t="s">
        <v>114</v>
      </c>
      <c r="AU398" s="10" t="s">
        <v>114</v>
      </c>
      <c r="AV398" s="10">
        <v>0.50435823998508456</v>
      </c>
      <c r="AW398" s="10">
        <v>22.891532108875211</v>
      </c>
      <c r="AX398" s="10" t="s">
        <v>114</v>
      </c>
      <c r="AY398" s="10" t="s">
        <v>114</v>
      </c>
      <c r="AZ398" s="10" t="s">
        <v>114</v>
      </c>
      <c r="BA398" s="10" t="s">
        <v>114</v>
      </c>
      <c r="BB398" s="10" t="s">
        <v>114</v>
      </c>
      <c r="BC398" s="10">
        <v>0.23298324647175081</v>
      </c>
      <c r="BD398" s="10">
        <v>0.79063615231697559</v>
      </c>
    </row>
    <row r="399" spans="1:56" x14ac:dyDescent="0.3">
      <c r="A399" t="s">
        <v>485</v>
      </c>
      <c r="B399" t="s">
        <v>484</v>
      </c>
      <c r="C399" s="10">
        <v>7153.0716605281132</v>
      </c>
      <c r="D399" s="10">
        <v>2915.3279582429391</v>
      </c>
      <c r="E399" s="10">
        <v>150.03619661364257</v>
      </c>
      <c r="F399" s="10">
        <v>137912.31024353919</v>
      </c>
      <c r="G399" s="10">
        <v>228.2413794476183</v>
      </c>
      <c r="H399" s="10">
        <v>318503.06629687885</v>
      </c>
      <c r="I399" s="10">
        <v>316433.65251235396</v>
      </c>
      <c r="J399" s="10">
        <v>7.9347635873626974</v>
      </c>
      <c r="K399" s="10">
        <v>0.54817874125499988</v>
      </c>
      <c r="L399" s="10">
        <v>0.95698026490098465</v>
      </c>
      <c r="M399" s="10">
        <v>19.339652213516828</v>
      </c>
      <c r="N399" s="10">
        <v>28.192271190758273</v>
      </c>
      <c r="O399" s="10">
        <v>35.564249322249992</v>
      </c>
      <c r="P399" s="10" t="s">
        <v>114</v>
      </c>
      <c r="Q399" s="10">
        <v>5.5751135489135502</v>
      </c>
      <c r="R399" s="10" t="s">
        <v>114</v>
      </c>
      <c r="S399" s="10" t="s">
        <v>114</v>
      </c>
      <c r="T399" s="10">
        <v>77.677713872225198</v>
      </c>
      <c r="U399" s="10">
        <v>71.0920988486845</v>
      </c>
      <c r="V399" s="10" t="s">
        <v>114</v>
      </c>
      <c r="W399" s="10" t="s">
        <v>114</v>
      </c>
      <c r="X399" s="10" t="s">
        <v>114</v>
      </c>
      <c r="Y399" s="10">
        <v>195.63920684815758</v>
      </c>
      <c r="Z399" s="10" t="s">
        <v>114</v>
      </c>
      <c r="AA399" s="10">
        <v>0.56213693844284929</v>
      </c>
      <c r="AB399" s="10">
        <v>0.48383072854750681</v>
      </c>
      <c r="AC399" s="10" t="s">
        <v>114</v>
      </c>
      <c r="AD399" s="10" t="s">
        <v>114</v>
      </c>
      <c r="AE399" s="10" t="s">
        <v>114</v>
      </c>
      <c r="AF399" s="10">
        <v>2.2138371409893705E-3</v>
      </c>
      <c r="AG399" s="10">
        <v>5.9073912468388849</v>
      </c>
      <c r="AH399" s="10">
        <v>0.11986288486487374</v>
      </c>
      <c r="AI399" s="10">
        <v>0.28153121532888892</v>
      </c>
      <c r="AJ399" s="10">
        <v>2.447443510729861E-2</v>
      </c>
      <c r="AK399" s="10">
        <v>0.12257888132501635</v>
      </c>
      <c r="AL399" s="10">
        <v>2.4654145319665838E-2</v>
      </c>
      <c r="AM399" s="10">
        <v>8.5662524103363568E-3</v>
      </c>
      <c r="AN399" s="10">
        <v>2.4506742906191072E-2</v>
      </c>
      <c r="AO399" s="10" t="s">
        <v>114</v>
      </c>
      <c r="AP399" s="10">
        <v>2.2187713709960789E-2</v>
      </c>
      <c r="AQ399" s="10" t="s">
        <v>114</v>
      </c>
      <c r="AR399" s="10" t="s">
        <v>114</v>
      </c>
      <c r="AS399" s="10" t="s">
        <v>114</v>
      </c>
      <c r="AT399" s="10" t="s">
        <v>114</v>
      </c>
      <c r="AU399" s="10" t="s">
        <v>114</v>
      </c>
      <c r="AV399" s="10">
        <v>0.30144940883453325</v>
      </c>
      <c r="AW399" s="10">
        <v>21.548780880048191</v>
      </c>
      <c r="AX399" s="10" t="s">
        <v>114</v>
      </c>
      <c r="AY399" s="10" t="s">
        <v>114</v>
      </c>
      <c r="AZ399" s="10">
        <v>3.9679002503375171</v>
      </c>
      <c r="BA399" s="10">
        <v>3.5946150968139134</v>
      </c>
      <c r="BB399" s="10">
        <v>3.7342488264351843</v>
      </c>
      <c r="BC399" s="10" t="s">
        <v>114</v>
      </c>
      <c r="BD399" s="10">
        <v>0.43206033920842951</v>
      </c>
    </row>
    <row r="400" spans="1:56" x14ac:dyDescent="0.3">
      <c r="A400" t="s">
        <v>486</v>
      </c>
      <c r="B400" t="s">
        <v>484</v>
      </c>
      <c r="C400" s="10">
        <v>7765.5621656610429</v>
      </c>
      <c r="D400" s="10">
        <v>3503.3686528053418</v>
      </c>
      <c r="E400" s="10">
        <v>83.994563999282434</v>
      </c>
      <c r="F400" s="10">
        <v>164904.44451689741</v>
      </c>
      <c r="G400" s="10">
        <v>217.78160492806347</v>
      </c>
      <c r="H400" s="10">
        <v>374138.50704105519</v>
      </c>
      <c r="I400" s="10">
        <v>374729.65521090751</v>
      </c>
      <c r="J400" s="10" t="s">
        <v>114</v>
      </c>
      <c r="K400" s="10">
        <v>0.23700341415949699</v>
      </c>
      <c r="L400" s="10">
        <v>1.9447367695743392</v>
      </c>
      <c r="M400" s="10">
        <v>35.884255733995417</v>
      </c>
      <c r="N400" s="10">
        <v>46.524085673601583</v>
      </c>
      <c r="O400" s="10">
        <v>54.818005866237201</v>
      </c>
      <c r="P400" s="10" t="s">
        <v>114</v>
      </c>
      <c r="Q400" s="10">
        <v>14.153865315182253</v>
      </c>
      <c r="R400" s="10" t="s">
        <v>114</v>
      </c>
      <c r="S400" s="10" t="s">
        <v>114</v>
      </c>
      <c r="T400" s="10">
        <v>119.99973148507532</v>
      </c>
      <c r="U400" s="10">
        <v>115.78828104864111</v>
      </c>
      <c r="V400" s="10" t="s">
        <v>114</v>
      </c>
      <c r="W400" s="10" t="s">
        <v>114</v>
      </c>
      <c r="X400" s="10" t="s">
        <v>114</v>
      </c>
      <c r="Y400" s="10">
        <v>119.03756967404583</v>
      </c>
      <c r="Z400" s="10" t="s">
        <v>114</v>
      </c>
      <c r="AA400" s="10">
        <v>0.34525735566765103</v>
      </c>
      <c r="AB400" s="10">
        <v>0.32454558299342617</v>
      </c>
      <c r="AC400" s="10" t="s">
        <v>114</v>
      </c>
      <c r="AD400" s="10" t="s">
        <v>114</v>
      </c>
      <c r="AE400" s="10" t="s">
        <v>114</v>
      </c>
      <c r="AF400" s="10">
        <v>1.4262414685876522E-3</v>
      </c>
      <c r="AG400" s="10">
        <v>8.3489526687659943</v>
      </c>
      <c r="AH400" s="10">
        <v>9.2781380276270753E-2</v>
      </c>
      <c r="AI400" s="10">
        <v>0.21272155313437027</v>
      </c>
      <c r="AJ400" s="10">
        <v>2.386999369308777E-2</v>
      </c>
      <c r="AK400" s="10">
        <v>9.2419853586612796E-2</v>
      </c>
      <c r="AL400" s="10">
        <v>2.0329896692007288E-2</v>
      </c>
      <c r="AM400" s="10" t="s">
        <v>114</v>
      </c>
      <c r="AN400" s="10">
        <v>1.9675618700253351E-2</v>
      </c>
      <c r="AO400" s="10" t="s">
        <v>114</v>
      </c>
      <c r="AP400" s="10">
        <v>2.094390712659247E-2</v>
      </c>
      <c r="AQ400" s="10" t="s">
        <v>114</v>
      </c>
      <c r="AR400" s="10" t="s">
        <v>114</v>
      </c>
      <c r="AS400" s="10" t="s">
        <v>114</v>
      </c>
      <c r="AT400" s="10" t="s">
        <v>114</v>
      </c>
      <c r="AU400" s="10" t="s">
        <v>114</v>
      </c>
      <c r="AV400" s="10">
        <v>0.21281997664567151</v>
      </c>
      <c r="AW400" s="10">
        <v>21.418896915035287</v>
      </c>
      <c r="AX400" s="10" t="s">
        <v>114</v>
      </c>
      <c r="AY400" s="10" t="s">
        <v>114</v>
      </c>
      <c r="AZ400" s="10" t="s">
        <v>114</v>
      </c>
      <c r="BA400" s="10" t="s">
        <v>114</v>
      </c>
      <c r="BB400" s="10" t="s">
        <v>114</v>
      </c>
      <c r="BC400" s="10" t="s">
        <v>114</v>
      </c>
      <c r="BD400" s="10">
        <v>0.69206470118953523</v>
      </c>
    </row>
    <row r="401" spans="1:56" x14ac:dyDescent="0.3">
      <c r="A401" t="s">
        <v>487</v>
      </c>
      <c r="B401" t="s">
        <v>484</v>
      </c>
      <c r="C401" s="10">
        <v>7223.2935094909981</v>
      </c>
      <c r="D401" s="10">
        <v>2439.356361389529</v>
      </c>
      <c r="E401" s="10">
        <v>65.78625472126464</v>
      </c>
      <c r="F401" s="10">
        <v>160371.34992140072</v>
      </c>
      <c r="G401" s="10">
        <v>191.1582048769726</v>
      </c>
      <c r="H401" s="10">
        <v>363499.15440295899</v>
      </c>
      <c r="I401" s="10">
        <v>364917.37969465047</v>
      </c>
      <c r="J401" s="10" t="s">
        <v>114</v>
      </c>
      <c r="K401" s="10" t="s">
        <v>114</v>
      </c>
      <c r="L401" s="10">
        <v>1.5617849998204278</v>
      </c>
      <c r="M401" s="10">
        <v>20.588383873132646</v>
      </c>
      <c r="N401" s="10">
        <v>13.450235546226487</v>
      </c>
      <c r="O401" s="10">
        <v>16.140330123118087</v>
      </c>
      <c r="P401" s="10" t="s">
        <v>114</v>
      </c>
      <c r="Q401" s="10">
        <v>2.019094648563553</v>
      </c>
      <c r="R401" s="10" t="s">
        <v>114</v>
      </c>
      <c r="S401" s="10" t="s">
        <v>114</v>
      </c>
      <c r="T401" s="10">
        <v>181.18400391596569</v>
      </c>
      <c r="U401" s="10">
        <v>171.79718212616848</v>
      </c>
      <c r="V401" s="10" t="s">
        <v>114</v>
      </c>
      <c r="W401" s="10" t="s">
        <v>114</v>
      </c>
      <c r="X401" s="10" t="s">
        <v>114</v>
      </c>
      <c r="Y401" s="10">
        <v>158.96542714752317</v>
      </c>
      <c r="Z401" s="10" t="s">
        <v>114</v>
      </c>
      <c r="AA401" s="10" t="s">
        <v>114</v>
      </c>
      <c r="AB401" s="10" t="s">
        <v>114</v>
      </c>
      <c r="AC401" s="10" t="s">
        <v>114</v>
      </c>
      <c r="AD401" s="10" t="s">
        <v>114</v>
      </c>
      <c r="AE401" s="10" t="s">
        <v>114</v>
      </c>
      <c r="AF401" s="10">
        <v>1.6068488811335697E-3</v>
      </c>
      <c r="AG401" s="10">
        <v>1.7973928864030406</v>
      </c>
      <c r="AH401" s="10">
        <v>0.14970088000945903</v>
      </c>
      <c r="AI401" s="10">
        <v>0.36848597168148767</v>
      </c>
      <c r="AJ401" s="10">
        <v>2.9006653604404822E-2</v>
      </c>
      <c r="AK401" s="10">
        <v>0.13057797156386425</v>
      </c>
      <c r="AL401" s="10">
        <v>3.0533466207887845E-2</v>
      </c>
      <c r="AM401" s="10" t="s">
        <v>114</v>
      </c>
      <c r="AN401" s="10">
        <v>2.905089802158729E-2</v>
      </c>
      <c r="AO401" s="10" t="s">
        <v>114</v>
      </c>
      <c r="AP401" s="10">
        <v>3.7560348721359604E-2</v>
      </c>
      <c r="AQ401" s="10" t="s">
        <v>114</v>
      </c>
      <c r="AR401" s="10">
        <v>1.683830011007463E-2</v>
      </c>
      <c r="AS401" s="10" t="s">
        <v>114</v>
      </c>
      <c r="AT401" s="10">
        <v>1.6076713122987099E-2</v>
      </c>
      <c r="AU401" s="10" t="s">
        <v>114</v>
      </c>
      <c r="AV401" s="10">
        <v>0.12814236413332325</v>
      </c>
      <c r="AW401" s="10">
        <v>21.487119976843921</v>
      </c>
      <c r="AX401" s="10" t="s">
        <v>114</v>
      </c>
      <c r="AY401" s="10" t="s">
        <v>114</v>
      </c>
      <c r="AZ401" s="10">
        <v>0.69048283445837799</v>
      </c>
      <c r="BA401" s="10" t="s">
        <v>114</v>
      </c>
      <c r="BB401" s="10" t="s">
        <v>114</v>
      </c>
      <c r="BC401" s="10" t="s">
        <v>114</v>
      </c>
      <c r="BD401" s="10" t="s">
        <v>114</v>
      </c>
    </row>
    <row r="402" spans="1:56" x14ac:dyDescent="0.3">
      <c r="A402" t="s">
        <v>488</v>
      </c>
      <c r="B402" t="s">
        <v>484</v>
      </c>
      <c r="C402" s="10">
        <v>9564.4870787666932</v>
      </c>
      <c r="D402" s="10">
        <v>4121.4022616075972</v>
      </c>
      <c r="E402" s="10">
        <v>49.410868018832709</v>
      </c>
      <c r="F402" s="10">
        <v>177386.63989304923</v>
      </c>
      <c r="G402" s="10">
        <v>309.47472627253364</v>
      </c>
      <c r="H402" s="10">
        <v>404981.42982824438</v>
      </c>
      <c r="I402" s="10">
        <v>404922.92060762929</v>
      </c>
      <c r="J402" s="10">
        <v>31.987428499556366</v>
      </c>
      <c r="K402" s="10">
        <v>0.67732490100873421</v>
      </c>
      <c r="L402" s="10">
        <v>2.0513496038935033</v>
      </c>
      <c r="M402" s="10">
        <v>65.665222513091379</v>
      </c>
      <c r="N402" s="10">
        <v>19.621212719654931</v>
      </c>
      <c r="O402" s="10">
        <v>24.645211482645635</v>
      </c>
      <c r="P402" s="10" t="s">
        <v>114</v>
      </c>
      <c r="Q402" s="10">
        <v>1.1263344505927808</v>
      </c>
      <c r="R402" s="10" t="s">
        <v>114</v>
      </c>
      <c r="S402" s="10" t="s">
        <v>114</v>
      </c>
      <c r="T402" s="10">
        <v>110.20258934032803</v>
      </c>
      <c r="U402" s="10">
        <v>104.97079061205825</v>
      </c>
      <c r="V402" s="10">
        <v>1.0037892224804703</v>
      </c>
      <c r="W402" s="10" t="s">
        <v>114</v>
      </c>
      <c r="X402" s="10" t="s">
        <v>114</v>
      </c>
      <c r="Y402" s="10">
        <v>366.73594073282749</v>
      </c>
      <c r="Z402" s="10" t="s">
        <v>114</v>
      </c>
      <c r="AA402" s="10" t="s">
        <v>114</v>
      </c>
      <c r="AB402" s="10" t="s">
        <v>114</v>
      </c>
      <c r="AC402" s="10" t="s">
        <v>114</v>
      </c>
      <c r="AD402" s="10" t="s">
        <v>114</v>
      </c>
      <c r="AE402" s="10" t="s">
        <v>114</v>
      </c>
      <c r="AF402" s="10">
        <v>1.2472117694433879E-3</v>
      </c>
      <c r="AG402" s="10">
        <v>8.6827408442665401</v>
      </c>
      <c r="AH402" s="10">
        <v>0.18647118381814901</v>
      </c>
      <c r="AI402" s="10">
        <v>0.43029382401470645</v>
      </c>
      <c r="AJ402" s="10">
        <v>3.6783929456128663E-2</v>
      </c>
      <c r="AK402" s="10">
        <v>0.16425959008909957</v>
      </c>
      <c r="AL402" s="10">
        <v>2.9304880386957975E-2</v>
      </c>
      <c r="AM402" s="10">
        <v>1.1940648960430284E-2</v>
      </c>
      <c r="AN402" s="10">
        <v>4.5858230451276683E-2</v>
      </c>
      <c r="AO402" s="10" t="s">
        <v>114</v>
      </c>
      <c r="AP402" s="10">
        <v>3.6233371804519618E-2</v>
      </c>
      <c r="AQ402" s="10" t="s">
        <v>114</v>
      </c>
      <c r="AR402" s="10">
        <v>1.5189906180210084E-2</v>
      </c>
      <c r="AS402" s="10" t="s">
        <v>114</v>
      </c>
      <c r="AT402" s="10">
        <v>1.5847932165623024E-2</v>
      </c>
      <c r="AU402" s="10">
        <v>2.7370840821014496E-3</v>
      </c>
      <c r="AV402" s="10">
        <v>0.19440341150656404</v>
      </c>
      <c r="AW402" s="10">
        <v>21.970844563914717</v>
      </c>
      <c r="AX402" s="10" t="s">
        <v>114</v>
      </c>
      <c r="AY402" s="10" t="s">
        <v>114</v>
      </c>
      <c r="AZ402" s="10" t="s">
        <v>114</v>
      </c>
      <c r="BA402" s="10" t="s">
        <v>114</v>
      </c>
      <c r="BB402" s="10" t="s">
        <v>114</v>
      </c>
      <c r="BC402" s="10" t="s">
        <v>114</v>
      </c>
      <c r="BD402" s="10">
        <v>1.6377668167402917</v>
      </c>
    </row>
    <row r="403" spans="1:56" x14ac:dyDescent="0.3">
      <c r="A403" t="s">
        <v>489</v>
      </c>
      <c r="B403" t="s">
        <v>484</v>
      </c>
      <c r="C403" s="10">
        <v>7460.0701729690309</v>
      </c>
      <c r="D403" s="10">
        <v>3797.392254946677</v>
      </c>
      <c r="E403" s="10">
        <v>150.80129010803896</v>
      </c>
      <c r="F403" s="10">
        <v>157464.99676315809</v>
      </c>
      <c r="G403" s="10">
        <v>268.19038226335141</v>
      </c>
      <c r="H403" s="10">
        <v>353598.12146938877</v>
      </c>
      <c r="I403" s="10">
        <v>351537.19216492341</v>
      </c>
      <c r="J403" s="10" t="s">
        <v>114</v>
      </c>
      <c r="K403" s="10">
        <v>0.2271922267580104</v>
      </c>
      <c r="L403" s="10">
        <v>1.4471457997024655</v>
      </c>
      <c r="M403" s="10">
        <v>24.081224654533607</v>
      </c>
      <c r="N403" s="10">
        <v>26.179249627192235</v>
      </c>
      <c r="O403" s="10">
        <v>34.329567542819596</v>
      </c>
      <c r="P403" s="10" t="s">
        <v>114</v>
      </c>
      <c r="Q403" s="10" t="s">
        <v>114</v>
      </c>
      <c r="R403" s="10" t="s">
        <v>114</v>
      </c>
      <c r="S403" s="10" t="s">
        <v>114</v>
      </c>
      <c r="T403" s="10">
        <v>112.67359393411036</v>
      </c>
      <c r="U403" s="10">
        <v>108.3306767131012</v>
      </c>
      <c r="V403" s="10" t="s">
        <v>114</v>
      </c>
      <c r="W403" s="10" t="s">
        <v>114</v>
      </c>
      <c r="X403" s="10" t="s">
        <v>114</v>
      </c>
      <c r="Y403" s="10">
        <v>162.44837248202248</v>
      </c>
      <c r="Z403" s="10" t="s">
        <v>114</v>
      </c>
      <c r="AA403" s="10" t="s">
        <v>114</v>
      </c>
      <c r="AB403" s="10" t="s">
        <v>114</v>
      </c>
      <c r="AC403" s="10" t="s">
        <v>114</v>
      </c>
      <c r="AD403" s="10" t="s">
        <v>114</v>
      </c>
      <c r="AE403" s="10" t="s">
        <v>114</v>
      </c>
      <c r="AF403" s="10">
        <v>1.5686445162131372E-3</v>
      </c>
      <c r="AG403" s="10">
        <v>3.6407910097496261</v>
      </c>
      <c r="AH403" s="10" t="s">
        <v>114</v>
      </c>
      <c r="AI403" s="10" t="s">
        <v>114</v>
      </c>
      <c r="AJ403" s="10" t="s">
        <v>114</v>
      </c>
      <c r="AK403" s="10" t="s">
        <v>114</v>
      </c>
      <c r="AL403" s="10" t="s">
        <v>114</v>
      </c>
      <c r="AM403" s="10" t="s">
        <v>114</v>
      </c>
      <c r="AN403" s="10" t="s">
        <v>114</v>
      </c>
      <c r="AO403" s="10" t="s">
        <v>114</v>
      </c>
      <c r="AP403" s="10" t="s">
        <v>114</v>
      </c>
      <c r="AQ403" s="10" t="s">
        <v>114</v>
      </c>
      <c r="AR403" s="10" t="s">
        <v>114</v>
      </c>
      <c r="AS403" s="10" t="s">
        <v>114</v>
      </c>
      <c r="AT403" s="10" t="s">
        <v>114</v>
      </c>
      <c r="AU403" s="10" t="s">
        <v>114</v>
      </c>
      <c r="AV403" s="10">
        <v>8.4396115603816421E-2</v>
      </c>
      <c r="AW403" s="10">
        <v>23.483744691007239</v>
      </c>
      <c r="AX403" s="10" t="s">
        <v>114</v>
      </c>
      <c r="AY403" s="10" t="s">
        <v>114</v>
      </c>
      <c r="AZ403" s="10">
        <v>2.9781394200850206</v>
      </c>
      <c r="BA403" s="10">
        <v>2.6711366421979275</v>
      </c>
      <c r="BB403" s="10">
        <v>2.7445063179204978</v>
      </c>
      <c r="BC403" s="10" t="s">
        <v>114</v>
      </c>
      <c r="BD403" s="10" t="s">
        <v>114</v>
      </c>
    </row>
    <row r="404" spans="1:56" x14ac:dyDescent="0.3">
      <c r="A404" t="s">
        <v>490</v>
      </c>
      <c r="B404" t="s">
        <v>484</v>
      </c>
      <c r="C404" s="10">
        <v>6951.5547004539785</v>
      </c>
      <c r="D404" s="10">
        <v>2847.7148407889504</v>
      </c>
      <c r="E404" s="10">
        <v>169.41100004533581</v>
      </c>
      <c r="F404" s="10">
        <v>153711.63218548888</v>
      </c>
      <c r="G404" s="10">
        <v>315.8901083010295</v>
      </c>
      <c r="H404" s="10">
        <v>354450.06520481809</v>
      </c>
      <c r="I404" s="10">
        <v>352251.36973489117</v>
      </c>
      <c r="J404" s="10">
        <v>72.386242927567835</v>
      </c>
      <c r="K404" s="10">
        <v>0.33841896125284704</v>
      </c>
      <c r="L404" s="10">
        <v>1.4350359666005277</v>
      </c>
      <c r="M404" s="10">
        <v>46.738351828170686</v>
      </c>
      <c r="N404" s="10">
        <v>42.937615228048486</v>
      </c>
      <c r="O404" s="10">
        <v>47.766983192398854</v>
      </c>
      <c r="P404" s="10" t="s">
        <v>114</v>
      </c>
      <c r="Q404" s="10">
        <v>3.9554825074454842</v>
      </c>
      <c r="R404" s="10" t="s">
        <v>114</v>
      </c>
      <c r="S404" s="10" t="s">
        <v>114</v>
      </c>
      <c r="T404" s="10">
        <v>164.69780928671426</v>
      </c>
      <c r="U404" s="10">
        <v>156.95114804934838</v>
      </c>
      <c r="V404" s="10" t="s">
        <v>114</v>
      </c>
      <c r="W404" s="10" t="s">
        <v>114</v>
      </c>
      <c r="X404" s="10" t="s">
        <v>114</v>
      </c>
      <c r="Y404" s="10">
        <v>123.5189298587534</v>
      </c>
      <c r="Z404" s="10" t="s">
        <v>114</v>
      </c>
      <c r="AA404" s="10">
        <v>1.0455251383042414</v>
      </c>
      <c r="AB404" s="10">
        <v>1.1996473027911703</v>
      </c>
      <c r="AC404" s="10" t="s">
        <v>114</v>
      </c>
      <c r="AD404" s="10" t="s">
        <v>114</v>
      </c>
      <c r="AE404" s="10" t="s">
        <v>114</v>
      </c>
      <c r="AF404" s="10">
        <v>6.4704307942419943E-3</v>
      </c>
      <c r="AG404" s="10">
        <v>3.3981371218876699</v>
      </c>
      <c r="AH404" s="10">
        <v>0.42810079234325432</v>
      </c>
      <c r="AI404" s="10">
        <v>0.96218422739115683</v>
      </c>
      <c r="AJ404" s="10">
        <v>8.9124018265337071E-2</v>
      </c>
      <c r="AK404" s="10">
        <v>0.38896482208257616</v>
      </c>
      <c r="AL404" s="10">
        <v>5.9092897622287879E-2</v>
      </c>
      <c r="AM404" s="10">
        <v>1.7590745353691966E-2</v>
      </c>
      <c r="AN404" s="10">
        <v>8.1671940268464083E-2</v>
      </c>
      <c r="AO404" s="10" t="s">
        <v>114</v>
      </c>
      <c r="AP404" s="10">
        <v>8.1610389380411277E-2</v>
      </c>
      <c r="AQ404" s="10" t="s">
        <v>114</v>
      </c>
      <c r="AR404" s="10">
        <v>4.7358163688555895E-2</v>
      </c>
      <c r="AS404" s="10">
        <v>6.0094599576190188E-3</v>
      </c>
      <c r="AT404" s="10">
        <v>4.3732430257570551E-2</v>
      </c>
      <c r="AU404" s="10">
        <v>6.6423504167541772E-3</v>
      </c>
      <c r="AV404" s="10">
        <v>0.48714552328169541</v>
      </c>
      <c r="AW404" s="10">
        <v>24.281322250220107</v>
      </c>
      <c r="AX404" s="10" t="s">
        <v>114</v>
      </c>
      <c r="AY404" s="10" t="s">
        <v>114</v>
      </c>
      <c r="AZ404" s="10">
        <v>2.092777706370839</v>
      </c>
      <c r="BA404" s="10">
        <v>1.810634604316246</v>
      </c>
      <c r="BB404" s="10">
        <v>1.9280671673427294</v>
      </c>
      <c r="BC404" s="10">
        <v>0.25988504287934716</v>
      </c>
      <c r="BD404" s="10">
        <v>0.4703245143307006</v>
      </c>
    </row>
    <row r="405" spans="1:56" x14ac:dyDescent="0.3">
      <c r="A405" t="s">
        <v>491</v>
      </c>
      <c r="B405" t="s">
        <v>484</v>
      </c>
      <c r="C405" s="10">
        <v>7591.1128446637131</v>
      </c>
      <c r="D405" s="10">
        <v>3563.3269989682281</v>
      </c>
      <c r="E405" s="10">
        <v>269.49247632029454</v>
      </c>
      <c r="F405" s="10">
        <v>156331.01734816405</v>
      </c>
      <c r="G405" s="10">
        <v>194.93521719474992</v>
      </c>
      <c r="H405" s="10">
        <v>358868.44272701215</v>
      </c>
      <c r="I405" s="10">
        <v>356684.52607248607</v>
      </c>
      <c r="J405" s="10" t="s">
        <v>114</v>
      </c>
      <c r="K405" s="10">
        <v>1.279536645003734</v>
      </c>
      <c r="L405" s="10">
        <v>2.0114895803389841</v>
      </c>
      <c r="M405" s="10">
        <v>46.301633965832586</v>
      </c>
      <c r="N405" s="10">
        <v>14.111731746121311</v>
      </c>
      <c r="O405" s="10">
        <v>18.96029424967243</v>
      </c>
      <c r="P405" s="10" t="s">
        <v>114</v>
      </c>
      <c r="Q405" s="10">
        <v>3.8162060008057375</v>
      </c>
      <c r="R405" s="10" t="s">
        <v>114</v>
      </c>
      <c r="S405" s="10" t="s">
        <v>114</v>
      </c>
      <c r="T405" s="10">
        <v>166.47319179972652</v>
      </c>
      <c r="U405" s="10">
        <v>162.09889106072444</v>
      </c>
      <c r="V405" s="10" t="s">
        <v>114</v>
      </c>
      <c r="W405" s="10" t="s">
        <v>114</v>
      </c>
      <c r="X405" s="10" t="s">
        <v>114</v>
      </c>
      <c r="Y405" s="10">
        <v>280.40229717620417</v>
      </c>
      <c r="Z405" s="10" t="s">
        <v>114</v>
      </c>
      <c r="AA405" s="10">
        <v>0.5373334166975271</v>
      </c>
      <c r="AB405" s="10">
        <v>0.74922584726479258</v>
      </c>
      <c r="AC405" s="10" t="s">
        <v>114</v>
      </c>
      <c r="AD405" s="10" t="s">
        <v>114</v>
      </c>
      <c r="AE405" s="10" t="s">
        <v>114</v>
      </c>
      <c r="AF405" s="10">
        <v>2.3619169776466823E-3</v>
      </c>
      <c r="AG405" s="10">
        <v>7.6800314835629155</v>
      </c>
      <c r="AH405" s="10">
        <v>2.3256408854885679E-2</v>
      </c>
      <c r="AI405" s="10" t="s">
        <v>114</v>
      </c>
      <c r="AJ405" s="10" t="s">
        <v>114</v>
      </c>
      <c r="AK405" s="10" t="s">
        <v>114</v>
      </c>
      <c r="AL405" s="10" t="s">
        <v>114</v>
      </c>
      <c r="AM405" s="10" t="s">
        <v>114</v>
      </c>
      <c r="AN405" s="10" t="s">
        <v>114</v>
      </c>
      <c r="AO405" s="10" t="s">
        <v>114</v>
      </c>
      <c r="AP405" s="10" t="s">
        <v>114</v>
      </c>
      <c r="AQ405" s="10" t="s">
        <v>114</v>
      </c>
      <c r="AR405" s="10" t="s">
        <v>114</v>
      </c>
      <c r="AS405" s="10" t="s">
        <v>114</v>
      </c>
      <c r="AT405" s="10" t="s">
        <v>114</v>
      </c>
      <c r="AU405" s="10" t="s">
        <v>114</v>
      </c>
      <c r="AV405" s="10">
        <v>0.34733621083777111</v>
      </c>
      <c r="AW405" s="10">
        <v>23.278069670829169</v>
      </c>
      <c r="AX405" s="10" t="s">
        <v>114</v>
      </c>
      <c r="AY405" s="10" t="s">
        <v>114</v>
      </c>
      <c r="AZ405" s="10" t="s">
        <v>114</v>
      </c>
      <c r="BA405" s="10" t="s">
        <v>114</v>
      </c>
      <c r="BB405" s="10" t="s">
        <v>114</v>
      </c>
      <c r="BC405" s="10" t="s">
        <v>114</v>
      </c>
      <c r="BD405" s="10">
        <v>0.31323660376855422</v>
      </c>
    </row>
    <row r="406" spans="1:56" x14ac:dyDescent="0.3">
      <c r="A406" t="s">
        <v>492</v>
      </c>
      <c r="B406" t="s">
        <v>484</v>
      </c>
      <c r="C406" s="10">
        <v>8149.9871302408128</v>
      </c>
      <c r="D406" s="10">
        <v>3578.3645409946926</v>
      </c>
      <c r="E406" s="10">
        <v>187.60273002961077</v>
      </c>
      <c r="F406" s="10">
        <v>162256.74208827701</v>
      </c>
      <c r="G406" s="10">
        <v>271.75092564846773</v>
      </c>
      <c r="H406" s="10">
        <v>369850.16556589492</v>
      </c>
      <c r="I406" s="10">
        <v>368271.88427643158</v>
      </c>
      <c r="J406" s="10">
        <v>27.816303527348925</v>
      </c>
      <c r="K406" s="10" t="s">
        <v>114</v>
      </c>
      <c r="L406" s="10">
        <v>2.4333752466892347</v>
      </c>
      <c r="M406" s="10">
        <v>38.489713753445862</v>
      </c>
      <c r="N406" s="10">
        <v>27.340241992584005</v>
      </c>
      <c r="O406" s="10">
        <v>31.660033359750827</v>
      </c>
      <c r="P406" s="10" t="s">
        <v>114</v>
      </c>
      <c r="Q406" s="10">
        <v>1.4323019352899324</v>
      </c>
      <c r="R406" s="10" t="s">
        <v>114</v>
      </c>
      <c r="S406" s="10" t="s">
        <v>114</v>
      </c>
      <c r="T406" s="10">
        <v>113.66648805344171</v>
      </c>
      <c r="U406" s="10">
        <v>110.52945689719715</v>
      </c>
      <c r="V406" s="10" t="s">
        <v>114</v>
      </c>
      <c r="W406" s="10" t="s">
        <v>114</v>
      </c>
      <c r="X406" s="10" t="s">
        <v>114</v>
      </c>
      <c r="Y406" s="10">
        <v>147.46562521677043</v>
      </c>
      <c r="Z406" s="10" t="s">
        <v>114</v>
      </c>
      <c r="AA406" s="10">
        <v>0.32254823561979601</v>
      </c>
      <c r="AB406" s="10">
        <v>0.37670380042421542</v>
      </c>
      <c r="AC406" s="10" t="s">
        <v>114</v>
      </c>
      <c r="AD406" s="10" t="s">
        <v>114</v>
      </c>
      <c r="AE406" s="10" t="s">
        <v>114</v>
      </c>
      <c r="AF406" s="10">
        <v>3.5733663006942474E-3</v>
      </c>
      <c r="AG406" s="10">
        <v>5.6570844126921296</v>
      </c>
      <c r="AH406" s="10">
        <v>0.63867659567432777</v>
      </c>
      <c r="AI406" s="10">
        <v>1.5905477606023961</v>
      </c>
      <c r="AJ406" s="10">
        <v>0.14140396892818041</v>
      </c>
      <c r="AK406" s="10">
        <v>0.63095296579058913</v>
      </c>
      <c r="AL406" s="10">
        <v>0.12448271422123794</v>
      </c>
      <c r="AM406" s="10">
        <v>2.99874937472163E-2</v>
      </c>
      <c r="AN406" s="10">
        <v>0.14539929495967832</v>
      </c>
      <c r="AO406" s="10" t="s">
        <v>114</v>
      </c>
      <c r="AP406" s="10">
        <v>0.13006587216209098</v>
      </c>
      <c r="AQ406" s="10" t="s">
        <v>114</v>
      </c>
      <c r="AR406" s="10">
        <v>7.9654288173572757E-2</v>
      </c>
      <c r="AS406" s="10">
        <v>9.4166409645776872E-3</v>
      </c>
      <c r="AT406" s="10">
        <v>5.912746345811503E-2</v>
      </c>
      <c r="AU406" s="10">
        <v>8.3442890160522129E-3</v>
      </c>
      <c r="AV406" s="10">
        <v>0.19150844979723278</v>
      </c>
      <c r="AW406" s="10">
        <v>23.525609914882519</v>
      </c>
      <c r="AX406" s="10" t="s">
        <v>114</v>
      </c>
      <c r="AY406" s="10" t="s">
        <v>114</v>
      </c>
      <c r="AZ406" s="10">
        <v>3.6340850141907111</v>
      </c>
      <c r="BA406" s="10">
        <v>3.1812667319253687</v>
      </c>
      <c r="BB406" s="10">
        <v>3.3066294630413129</v>
      </c>
      <c r="BC406" s="10" t="s">
        <v>114</v>
      </c>
      <c r="BD406" s="10">
        <v>0.43270828010175355</v>
      </c>
    </row>
    <row r="407" spans="1:56" x14ac:dyDescent="0.3">
      <c r="A407" t="s">
        <v>493</v>
      </c>
      <c r="B407" t="s">
        <v>484</v>
      </c>
      <c r="C407" s="10">
        <v>6665.6928058716658</v>
      </c>
      <c r="D407" s="10">
        <v>2800.1166407875066</v>
      </c>
      <c r="E407" s="10">
        <v>78.149352569720747</v>
      </c>
      <c r="F407" s="10">
        <v>166486.36860135486</v>
      </c>
      <c r="G407" s="10">
        <v>222.78492908453009</v>
      </c>
      <c r="H407" s="10">
        <v>376699.09724428796</v>
      </c>
      <c r="I407" s="10">
        <v>373286.85073088389</v>
      </c>
      <c r="J407" s="10" t="s">
        <v>114</v>
      </c>
      <c r="K407" s="10" t="s">
        <v>114</v>
      </c>
      <c r="L407" s="10">
        <v>1.7709899025363067</v>
      </c>
      <c r="M407" s="10">
        <v>22.661360320700616</v>
      </c>
      <c r="N407" s="10">
        <v>9.1292326965104582</v>
      </c>
      <c r="O407" s="10">
        <v>18.882355766233559</v>
      </c>
      <c r="P407" s="10" t="s">
        <v>114</v>
      </c>
      <c r="Q407" s="10">
        <v>23.899528536578597</v>
      </c>
      <c r="R407" s="10" t="s">
        <v>114</v>
      </c>
      <c r="S407" s="10" t="s">
        <v>114</v>
      </c>
      <c r="T407" s="10">
        <v>247.50918681640465</v>
      </c>
      <c r="U407" s="10">
        <v>236.40120212568658</v>
      </c>
      <c r="V407" s="10" t="s">
        <v>114</v>
      </c>
      <c r="W407" s="10" t="s">
        <v>114</v>
      </c>
      <c r="X407" s="10" t="s">
        <v>114</v>
      </c>
      <c r="Y407" s="10">
        <v>182.85686054244144</v>
      </c>
      <c r="Z407" s="10" t="s">
        <v>114</v>
      </c>
      <c r="AA407" s="10" t="s">
        <v>114</v>
      </c>
      <c r="AB407" s="10" t="s">
        <v>114</v>
      </c>
      <c r="AC407" s="10" t="s">
        <v>114</v>
      </c>
      <c r="AD407" s="10" t="s">
        <v>114</v>
      </c>
      <c r="AE407" s="10" t="s">
        <v>114</v>
      </c>
      <c r="AF407" s="10">
        <v>1.9700049371670462E-3</v>
      </c>
      <c r="AG407" s="10">
        <v>2.194324916072278</v>
      </c>
      <c r="AH407" s="10">
        <v>2.4655066430671363E-2</v>
      </c>
      <c r="AI407" s="10" t="s">
        <v>114</v>
      </c>
      <c r="AJ407" s="10" t="s">
        <v>114</v>
      </c>
      <c r="AK407" s="10" t="s">
        <v>114</v>
      </c>
      <c r="AL407" s="10" t="s">
        <v>114</v>
      </c>
      <c r="AM407" s="10" t="s">
        <v>114</v>
      </c>
      <c r="AN407" s="10" t="s">
        <v>114</v>
      </c>
      <c r="AO407" s="10" t="s">
        <v>114</v>
      </c>
      <c r="AP407" s="10" t="s">
        <v>114</v>
      </c>
      <c r="AQ407" s="10" t="s">
        <v>114</v>
      </c>
      <c r="AR407" s="10" t="s">
        <v>114</v>
      </c>
      <c r="AS407" s="10" t="s">
        <v>114</v>
      </c>
      <c r="AT407" s="10" t="s">
        <v>114</v>
      </c>
      <c r="AU407" s="10" t="s">
        <v>114</v>
      </c>
      <c r="AV407" s="10">
        <v>0.10388341054360403</v>
      </c>
      <c r="AW407" s="10">
        <v>22.747257554006524</v>
      </c>
      <c r="AX407" s="10" t="s">
        <v>114</v>
      </c>
      <c r="AY407" s="10" t="s">
        <v>114</v>
      </c>
      <c r="AZ407" s="10" t="s">
        <v>114</v>
      </c>
      <c r="BA407" s="10" t="s">
        <v>114</v>
      </c>
      <c r="BB407" s="10" t="s">
        <v>114</v>
      </c>
      <c r="BC407" s="10" t="s">
        <v>114</v>
      </c>
      <c r="BD407" s="10" t="s">
        <v>114</v>
      </c>
    </row>
    <row r="408" spans="1:56" x14ac:dyDescent="0.3">
      <c r="A408" t="s">
        <v>494</v>
      </c>
      <c r="B408" t="s">
        <v>484</v>
      </c>
      <c r="C408" s="10">
        <v>7933.3553543985608</v>
      </c>
      <c r="D408" s="10">
        <v>3855.862926788102</v>
      </c>
      <c r="E408" s="10">
        <v>135.68595991090228</v>
      </c>
      <c r="F408" s="10">
        <v>168001.69807498323</v>
      </c>
      <c r="G408" s="10">
        <v>318.56902121138506</v>
      </c>
      <c r="H408" s="10">
        <v>382988.64973608643</v>
      </c>
      <c r="I408" s="10">
        <v>380284.81987515098</v>
      </c>
      <c r="J408" s="10">
        <v>12.282321524280764</v>
      </c>
      <c r="K408" s="10" t="s">
        <v>114</v>
      </c>
      <c r="L408" s="10">
        <v>1.3395641093672086</v>
      </c>
      <c r="M408" s="10">
        <v>33.291414744424635</v>
      </c>
      <c r="N408" s="10">
        <v>26.10961767618064</v>
      </c>
      <c r="O408" s="10">
        <v>31.243531134285416</v>
      </c>
      <c r="P408" s="10">
        <v>0.34055616268990196</v>
      </c>
      <c r="Q408" s="10">
        <v>4.2034477691465115</v>
      </c>
      <c r="R408" s="10" t="s">
        <v>114</v>
      </c>
      <c r="S408" s="10" t="s">
        <v>114</v>
      </c>
      <c r="T408" s="10">
        <v>125.99603247749791</v>
      </c>
      <c r="U408" s="10">
        <v>118.92053713803897</v>
      </c>
      <c r="V408" s="10" t="s">
        <v>114</v>
      </c>
      <c r="W408" s="10" t="s">
        <v>114</v>
      </c>
      <c r="X408" s="10" t="s">
        <v>114</v>
      </c>
      <c r="Y408" s="10">
        <v>243.53245626809149</v>
      </c>
      <c r="Z408" s="10" t="s">
        <v>114</v>
      </c>
      <c r="AA408" s="10" t="s">
        <v>114</v>
      </c>
      <c r="AB408" s="10" t="s">
        <v>114</v>
      </c>
      <c r="AC408" s="10" t="s">
        <v>114</v>
      </c>
      <c r="AD408" s="10" t="s">
        <v>114</v>
      </c>
      <c r="AE408" s="10" t="s">
        <v>114</v>
      </c>
      <c r="AF408" s="10">
        <v>3.2085730589333419E-3</v>
      </c>
      <c r="AG408" s="10">
        <v>4.7369712766697347</v>
      </c>
      <c r="AH408" s="10">
        <v>4.3117146605613624E-2</v>
      </c>
      <c r="AI408" s="10">
        <v>9.5399951579816025E-2</v>
      </c>
      <c r="AJ408" s="10">
        <v>9.7556884051147319E-3</v>
      </c>
      <c r="AK408" s="10">
        <v>4.3774385125270605E-2</v>
      </c>
      <c r="AL408" s="10" t="s">
        <v>114</v>
      </c>
      <c r="AM408" s="10" t="s">
        <v>114</v>
      </c>
      <c r="AN408" s="10">
        <v>1.6509779165986449E-2</v>
      </c>
      <c r="AO408" s="10" t="s">
        <v>114</v>
      </c>
      <c r="AP408" s="10">
        <v>1.5176505126242471E-2</v>
      </c>
      <c r="AQ408" s="10" t="s">
        <v>114</v>
      </c>
      <c r="AR408" s="10" t="s">
        <v>114</v>
      </c>
      <c r="AS408" s="10" t="s">
        <v>114</v>
      </c>
      <c r="AT408" s="10" t="s">
        <v>114</v>
      </c>
      <c r="AU408" s="10" t="s">
        <v>114</v>
      </c>
      <c r="AV408" s="10">
        <v>0.14720300918281026</v>
      </c>
      <c r="AW408" s="10">
        <v>22.195702330511718</v>
      </c>
      <c r="AX408" s="10" t="s">
        <v>114</v>
      </c>
      <c r="AY408" s="10" t="s">
        <v>114</v>
      </c>
      <c r="AZ408" s="10" t="s">
        <v>114</v>
      </c>
      <c r="BA408" s="10" t="s">
        <v>114</v>
      </c>
      <c r="BB408" s="10" t="s">
        <v>114</v>
      </c>
      <c r="BC408" s="10" t="s">
        <v>114</v>
      </c>
      <c r="BD408" s="10">
        <v>0.12225460010454585</v>
      </c>
    </row>
    <row r="409" spans="1:56" x14ac:dyDescent="0.3">
      <c r="A409" t="s">
        <v>495</v>
      </c>
      <c r="B409" t="s">
        <v>484</v>
      </c>
      <c r="C409" s="10">
        <v>6723.8527345120619</v>
      </c>
      <c r="D409" s="10">
        <v>3163.9704419345826</v>
      </c>
      <c r="E409" s="10">
        <v>66.711344787024089</v>
      </c>
      <c r="F409" s="10">
        <v>164600.29453056311</v>
      </c>
      <c r="G409" s="10">
        <v>234.38392517668626</v>
      </c>
      <c r="H409" s="10">
        <v>370518.6855718377</v>
      </c>
      <c r="I409" s="10">
        <v>370555.90614980448</v>
      </c>
      <c r="J409" s="10" t="s">
        <v>114</v>
      </c>
      <c r="K409" s="10" t="s">
        <v>114</v>
      </c>
      <c r="L409" s="10">
        <v>1.3864351532128545</v>
      </c>
      <c r="M409" s="10">
        <v>22.767628647872282</v>
      </c>
      <c r="N409" s="10">
        <v>7.5709358241009239</v>
      </c>
      <c r="O409" s="10">
        <v>12.353534323583601</v>
      </c>
      <c r="P409" s="10" t="s">
        <v>114</v>
      </c>
      <c r="Q409" s="10">
        <v>8.1957316188092921</v>
      </c>
      <c r="R409" s="10" t="s">
        <v>114</v>
      </c>
      <c r="S409" s="10" t="s">
        <v>114</v>
      </c>
      <c r="T409" s="10">
        <v>147.73048915402455</v>
      </c>
      <c r="U409" s="10">
        <v>142.57583061890924</v>
      </c>
      <c r="V409" s="10" t="s">
        <v>114</v>
      </c>
      <c r="W409" s="10" t="s">
        <v>114</v>
      </c>
      <c r="X409" s="10" t="s">
        <v>114</v>
      </c>
      <c r="Y409" s="10">
        <v>170.43206311526265</v>
      </c>
      <c r="Z409" s="10" t="s">
        <v>114</v>
      </c>
      <c r="AA409" s="10" t="s">
        <v>114</v>
      </c>
      <c r="AB409" s="10" t="s">
        <v>114</v>
      </c>
      <c r="AC409" s="10" t="s">
        <v>114</v>
      </c>
      <c r="AD409" s="10" t="s">
        <v>114</v>
      </c>
      <c r="AE409" s="10" t="s">
        <v>114</v>
      </c>
      <c r="AF409" s="10">
        <v>2.3389412781203078E-3</v>
      </c>
      <c r="AG409" s="10">
        <v>2.0627799062047822</v>
      </c>
      <c r="AH409" s="10">
        <v>2.6768480780256971E-2</v>
      </c>
      <c r="AI409" s="10" t="s">
        <v>114</v>
      </c>
      <c r="AJ409" s="10" t="s">
        <v>114</v>
      </c>
      <c r="AK409" s="10">
        <v>2.6813332175716798E-2</v>
      </c>
      <c r="AL409" s="10" t="s">
        <v>114</v>
      </c>
      <c r="AM409" s="10" t="s">
        <v>114</v>
      </c>
      <c r="AN409" s="10" t="s">
        <v>114</v>
      </c>
      <c r="AO409" s="10" t="s">
        <v>114</v>
      </c>
      <c r="AP409" s="10" t="s">
        <v>114</v>
      </c>
      <c r="AQ409" s="10" t="s">
        <v>114</v>
      </c>
      <c r="AR409" s="10" t="s">
        <v>114</v>
      </c>
      <c r="AS409" s="10" t="s">
        <v>114</v>
      </c>
      <c r="AT409" s="10" t="s">
        <v>114</v>
      </c>
      <c r="AU409" s="10" t="s">
        <v>114</v>
      </c>
      <c r="AV409" s="10" t="s">
        <v>114</v>
      </c>
      <c r="AW409" s="10">
        <v>20.553563477909119</v>
      </c>
      <c r="AX409" s="10" t="s">
        <v>114</v>
      </c>
      <c r="AY409" s="10" t="s">
        <v>114</v>
      </c>
      <c r="AZ409" s="10" t="s">
        <v>114</v>
      </c>
      <c r="BA409" s="10" t="s">
        <v>114</v>
      </c>
      <c r="BB409" s="10" t="s">
        <v>114</v>
      </c>
      <c r="BC409" s="10" t="s">
        <v>114</v>
      </c>
      <c r="BD409" s="10">
        <v>9.9748976722664806E-2</v>
      </c>
    </row>
    <row r="410" spans="1:56" x14ac:dyDescent="0.3">
      <c r="A410" t="s">
        <v>496</v>
      </c>
      <c r="B410" t="s">
        <v>484</v>
      </c>
      <c r="C410" s="10">
        <v>6681.4844249411917</v>
      </c>
      <c r="D410" s="10">
        <v>2631.5435614758617</v>
      </c>
      <c r="E410" s="10">
        <v>50.362757523251531</v>
      </c>
      <c r="F410" s="10">
        <v>155083.8803289223</v>
      </c>
      <c r="G410" s="10">
        <v>203.69223143327326</v>
      </c>
      <c r="H410" s="10">
        <v>352259.04811233509</v>
      </c>
      <c r="I410" s="10">
        <v>353367.39354676154</v>
      </c>
      <c r="J410" s="10">
        <v>9.3512790011938414</v>
      </c>
      <c r="K410" s="10" t="s">
        <v>114</v>
      </c>
      <c r="L410" s="10">
        <v>1.0936961611130469</v>
      </c>
      <c r="M410" s="10">
        <v>17.228796988480994</v>
      </c>
      <c r="N410" s="10">
        <v>11.231451743844509</v>
      </c>
      <c r="O410" s="10">
        <v>14.168180346654331</v>
      </c>
      <c r="P410" s="10" t="s">
        <v>114</v>
      </c>
      <c r="Q410" s="10">
        <v>15.237555697318443</v>
      </c>
      <c r="R410" s="10" t="s">
        <v>114</v>
      </c>
      <c r="S410" s="10" t="s">
        <v>114</v>
      </c>
      <c r="T410" s="10">
        <v>251.61735376603221</v>
      </c>
      <c r="U410" s="10">
        <v>240.31391512175091</v>
      </c>
      <c r="V410" s="10" t="s">
        <v>114</v>
      </c>
      <c r="W410" s="10" t="s">
        <v>114</v>
      </c>
      <c r="X410" s="10" t="s">
        <v>114</v>
      </c>
      <c r="Y410" s="10">
        <v>171.47858143527858</v>
      </c>
      <c r="Z410" s="10" t="s">
        <v>114</v>
      </c>
      <c r="AA410" s="10">
        <v>1.1377616726843736</v>
      </c>
      <c r="AB410" s="10">
        <v>1.0473549779413664</v>
      </c>
      <c r="AC410" s="10" t="s">
        <v>114</v>
      </c>
      <c r="AD410" s="10" t="s">
        <v>114</v>
      </c>
      <c r="AE410" s="10" t="s">
        <v>114</v>
      </c>
      <c r="AF410" s="10">
        <v>4.1631588204801579E-3</v>
      </c>
      <c r="AG410" s="10">
        <v>2.5413354833479156</v>
      </c>
      <c r="AH410" s="10">
        <v>0.12470140047005594</v>
      </c>
      <c r="AI410" s="10">
        <v>0.27239392903105836</v>
      </c>
      <c r="AJ410" s="10">
        <v>2.4120772059829182E-2</v>
      </c>
      <c r="AK410" s="10">
        <v>9.734190383189352E-2</v>
      </c>
      <c r="AL410" s="10" t="s">
        <v>114</v>
      </c>
      <c r="AM410" s="10" t="s">
        <v>114</v>
      </c>
      <c r="AN410" s="10">
        <v>1.5912299077710221E-2</v>
      </c>
      <c r="AO410" s="10" t="s">
        <v>114</v>
      </c>
      <c r="AP410" s="10">
        <v>2.3836827361904133E-2</v>
      </c>
      <c r="AQ410" s="10" t="s">
        <v>114</v>
      </c>
      <c r="AR410" s="10" t="s">
        <v>114</v>
      </c>
      <c r="AS410" s="10" t="s">
        <v>114</v>
      </c>
      <c r="AT410" s="10" t="s">
        <v>114</v>
      </c>
      <c r="AU410" s="10" t="s">
        <v>114</v>
      </c>
      <c r="AV410" s="10">
        <v>0.43614384268289769</v>
      </c>
      <c r="AW410" s="10">
        <v>22.725277709388962</v>
      </c>
      <c r="AX410" s="10" t="s">
        <v>114</v>
      </c>
      <c r="AY410" s="10" t="s">
        <v>114</v>
      </c>
      <c r="AZ410" s="10" t="s">
        <v>114</v>
      </c>
      <c r="BA410" s="10" t="s">
        <v>114</v>
      </c>
      <c r="BB410" s="10" t="s">
        <v>114</v>
      </c>
      <c r="BC410" s="10">
        <v>0.20633573184265785</v>
      </c>
      <c r="BD410" s="10" t="s">
        <v>114</v>
      </c>
    </row>
    <row r="411" spans="1:56" x14ac:dyDescent="0.3">
      <c r="A411" t="s">
        <v>497</v>
      </c>
      <c r="B411" t="s">
        <v>484</v>
      </c>
      <c r="C411" s="10">
        <v>6259.0002064088003</v>
      </c>
      <c r="D411" s="10">
        <v>2910.5102953477049</v>
      </c>
      <c r="E411" s="10">
        <v>66.525220540321783</v>
      </c>
      <c r="F411" s="10">
        <v>148533.30560091807</v>
      </c>
      <c r="G411" s="10">
        <v>223.53698047712257</v>
      </c>
      <c r="H411" s="10">
        <v>335810.41330712783</v>
      </c>
      <c r="I411" s="10">
        <v>336935.57881507801</v>
      </c>
      <c r="J411" s="10">
        <v>6.5106899424210471</v>
      </c>
      <c r="K411" s="10" t="s">
        <v>114</v>
      </c>
      <c r="L411" s="10">
        <v>1.1740398273528185</v>
      </c>
      <c r="M411" s="10">
        <v>19.810351998974411</v>
      </c>
      <c r="N411" s="10">
        <v>23.412610614264288</v>
      </c>
      <c r="O411" s="10">
        <v>25.62464246880695</v>
      </c>
      <c r="P411" s="10" t="s">
        <v>114</v>
      </c>
      <c r="Q411" s="10">
        <v>3.2664332872654311</v>
      </c>
      <c r="R411" s="10" t="s">
        <v>114</v>
      </c>
      <c r="S411" s="10" t="s">
        <v>114</v>
      </c>
      <c r="T411" s="10">
        <v>253.52068405238569</v>
      </c>
      <c r="U411" s="10">
        <v>242.38443657798211</v>
      </c>
      <c r="V411" s="10" t="s">
        <v>114</v>
      </c>
      <c r="W411" s="10" t="s">
        <v>114</v>
      </c>
      <c r="X411" s="10" t="s">
        <v>114</v>
      </c>
      <c r="Y411" s="10">
        <v>94.013648749072203</v>
      </c>
      <c r="Z411" s="10" t="s">
        <v>114</v>
      </c>
      <c r="AA411" s="10">
        <v>0.53612828326545892</v>
      </c>
      <c r="AB411" s="10">
        <v>0.57793759594365457</v>
      </c>
      <c r="AC411" s="10" t="s">
        <v>114</v>
      </c>
      <c r="AD411" s="10" t="s">
        <v>114</v>
      </c>
      <c r="AE411" s="10" t="s">
        <v>114</v>
      </c>
      <c r="AF411" s="10">
        <v>2.10187537040896E-3</v>
      </c>
      <c r="AG411" s="10">
        <v>2.0842016500585414</v>
      </c>
      <c r="AH411" s="10">
        <v>5.8706426274437382E-2</v>
      </c>
      <c r="AI411" s="10">
        <v>0.14031786586980646</v>
      </c>
      <c r="AJ411" s="10">
        <v>1.4394102507162495E-2</v>
      </c>
      <c r="AK411" s="10">
        <v>6.4561329611494578E-2</v>
      </c>
      <c r="AL411" s="10" t="s">
        <v>114</v>
      </c>
      <c r="AM411" s="10" t="s">
        <v>114</v>
      </c>
      <c r="AN411" s="10">
        <v>1.2781213982558205E-2</v>
      </c>
      <c r="AO411" s="10" t="s">
        <v>114</v>
      </c>
      <c r="AP411" s="10">
        <v>1.6571333574048188E-2</v>
      </c>
      <c r="AQ411" s="10" t="s">
        <v>114</v>
      </c>
      <c r="AR411" s="10" t="s">
        <v>114</v>
      </c>
      <c r="AS411" s="10" t="s">
        <v>114</v>
      </c>
      <c r="AT411" s="10" t="s">
        <v>114</v>
      </c>
      <c r="AU411" s="10" t="s">
        <v>114</v>
      </c>
      <c r="AV411" s="10">
        <v>0.21761607629183041</v>
      </c>
      <c r="AW411" s="10">
        <v>22.560512483706024</v>
      </c>
      <c r="AX411" s="10" t="s">
        <v>114</v>
      </c>
      <c r="AY411" s="10" t="s">
        <v>114</v>
      </c>
      <c r="AZ411" s="10" t="s">
        <v>114</v>
      </c>
      <c r="BA411" s="10" t="s">
        <v>114</v>
      </c>
      <c r="BB411" s="10" t="s">
        <v>114</v>
      </c>
      <c r="BC411" s="10" t="s">
        <v>114</v>
      </c>
      <c r="BD411" s="10" t="s">
        <v>114</v>
      </c>
    </row>
    <row r="412" spans="1:56" x14ac:dyDescent="0.3">
      <c r="A412" t="s">
        <v>498</v>
      </c>
      <c r="B412" t="s">
        <v>484</v>
      </c>
      <c r="C412" s="10">
        <v>7164.5260914550063</v>
      </c>
      <c r="D412" s="10">
        <v>2627.0358366073074</v>
      </c>
      <c r="E412" s="10">
        <v>94.092560077717309</v>
      </c>
      <c r="F412" s="10">
        <v>170796.7492061432</v>
      </c>
      <c r="G412" s="10">
        <v>255.72209540626139</v>
      </c>
      <c r="H412" s="10">
        <v>386358.87313466304</v>
      </c>
      <c r="I412" s="10">
        <v>386174.0458843041</v>
      </c>
      <c r="J412" s="10">
        <v>16.309913630814243</v>
      </c>
      <c r="K412" s="10">
        <v>2.2562114259663537</v>
      </c>
      <c r="L412" s="10">
        <v>2.4819435709691016</v>
      </c>
      <c r="M412" s="10">
        <v>34.273620105326565</v>
      </c>
      <c r="N412" s="10">
        <v>312.48033334465134</v>
      </c>
      <c r="O412" s="10">
        <v>319.83775366160188</v>
      </c>
      <c r="P412" s="10">
        <v>0.48223138666996884</v>
      </c>
      <c r="Q412" s="10">
        <v>4.0250092479892414</v>
      </c>
      <c r="R412" s="10" t="s">
        <v>114</v>
      </c>
      <c r="S412" s="10" t="s">
        <v>114</v>
      </c>
      <c r="T412" s="10">
        <v>219.99129280324684</v>
      </c>
      <c r="U412" s="10">
        <v>209.88099315383653</v>
      </c>
      <c r="V412" s="10">
        <v>3.1773250584258861</v>
      </c>
      <c r="W412" s="10" t="s">
        <v>114</v>
      </c>
      <c r="X412" s="10" t="s">
        <v>114</v>
      </c>
      <c r="Y412" s="10">
        <v>230.37415233226127</v>
      </c>
      <c r="Z412" s="10" t="s">
        <v>114</v>
      </c>
      <c r="AA412" s="10">
        <v>0.39718418621394552</v>
      </c>
      <c r="AB412" s="10">
        <v>0.36939953563257544</v>
      </c>
      <c r="AC412" s="10" t="s">
        <v>114</v>
      </c>
      <c r="AD412" s="10" t="s">
        <v>114</v>
      </c>
      <c r="AE412" s="10" t="s">
        <v>114</v>
      </c>
      <c r="AF412" s="10">
        <v>2.4198085167764314E-3</v>
      </c>
      <c r="AG412" s="10">
        <v>4.6755632195045109</v>
      </c>
      <c r="AH412" s="10">
        <v>0.13984228494590192</v>
      </c>
      <c r="AI412" s="10">
        <v>0.27626184263293851</v>
      </c>
      <c r="AJ412" s="10">
        <v>3.3273420941461386E-2</v>
      </c>
      <c r="AK412" s="10">
        <v>0.15277336340588873</v>
      </c>
      <c r="AL412" s="10">
        <v>2.4518066953543301E-2</v>
      </c>
      <c r="AM412" s="10" t="s">
        <v>114</v>
      </c>
      <c r="AN412" s="10">
        <v>2.3352976093259821E-2</v>
      </c>
      <c r="AO412" s="10" t="s">
        <v>114</v>
      </c>
      <c r="AP412" s="10">
        <v>4.1573930613390452E-2</v>
      </c>
      <c r="AQ412" s="10" t="s">
        <v>114</v>
      </c>
      <c r="AR412" s="10">
        <v>2.3788760015357423E-2</v>
      </c>
      <c r="AS412" s="10" t="s">
        <v>114</v>
      </c>
      <c r="AT412" s="10">
        <v>1.5707890307688158E-2</v>
      </c>
      <c r="AU412" s="10" t="s">
        <v>114</v>
      </c>
      <c r="AV412" s="10">
        <v>0.22986414012680087</v>
      </c>
      <c r="AW412" s="10">
        <v>23.255479684607277</v>
      </c>
      <c r="AX412" s="10" t="s">
        <v>114</v>
      </c>
      <c r="AY412" s="10" t="s">
        <v>114</v>
      </c>
      <c r="AZ412" s="10">
        <v>0.98925585506335889</v>
      </c>
      <c r="BA412" s="10">
        <v>0.85424243019833457</v>
      </c>
      <c r="BB412" s="10">
        <v>0.90350605809368834</v>
      </c>
      <c r="BC412" s="10" t="s">
        <v>114</v>
      </c>
      <c r="BD412" s="10">
        <v>0.33571834449330046</v>
      </c>
    </row>
    <row r="413" spans="1:56" x14ac:dyDescent="0.3">
      <c r="A413" t="s">
        <v>499</v>
      </c>
      <c r="B413" t="s">
        <v>484</v>
      </c>
      <c r="C413" s="10">
        <v>6656.9390412312905</v>
      </c>
      <c r="D413" s="10">
        <v>3397.4565792821572</v>
      </c>
      <c r="E413" s="10">
        <v>94.23381409301291</v>
      </c>
      <c r="F413" s="10">
        <v>158803.07073806075</v>
      </c>
      <c r="G413" s="10">
        <v>261.46003140738509</v>
      </c>
      <c r="H413" s="10">
        <v>359694.87062694499</v>
      </c>
      <c r="I413" s="10">
        <v>357081.40681753296</v>
      </c>
      <c r="J413" s="10" t="s">
        <v>114</v>
      </c>
      <c r="K413" s="10" t="s">
        <v>114</v>
      </c>
      <c r="L413" s="10">
        <v>1.0685745742508492</v>
      </c>
      <c r="M413" s="10">
        <v>30.87211623517458</v>
      </c>
      <c r="N413" s="10" t="s">
        <v>114</v>
      </c>
      <c r="O413" s="10">
        <v>10.732579822637891</v>
      </c>
      <c r="P413" s="10" t="s">
        <v>114</v>
      </c>
      <c r="Q413" s="10" t="s">
        <v>114</v>
      </c>
      <c r="R413" s="10" t="s">
        <v>114</v>
      </c>
      <c r="S413" s="10" t="s">
        <v>114</v>
      </c>
      <c r="T413" s="10">
        <v>138.83497314655409</v>
      </c>
      <c r="U413" s="10">
        <v>132.8194503186287</v>
      </c>
      <c r="V413" s="10" t="s">
        <v>114</v>
      </c>
      <c r="W413" s="10" t="s">
        <v>114</v>
      </c>
      <c r="X413" s="10" t="s">
        <v>114</v>
      </c>
      <c r="Y413" s="10">
        <v>94.742305099032961</v>
      </c>
      <c r="Z413" s="10" t="s">
        <v>114</v>
      </c>
      <c r="AA413" s="10" t="s">
        <v>114</v>
      </c>
      <c r="AB413" s="10">
        <v>0.28995233293515721</v>
      </c>
      <c r="AC413" s="10" t="s">
        <v>114</v>
      </c>
      <c r="AD413" s="10" t="s">
        <v>114</v>
      </c>
      <c r="AE413" s="10" t="s">
        <v>114</v>
      </c>
      <c r="AF413" s="10">
        <v>2.9001341625101156E-3</v>
      </c>
      <c r="AG413" s="10">
        <v>3.9684072373808092</v>
      </c>
      <c r="AH413" s="10" t="s">
        <v>114</v>
      </c>
      <c r="AI413" s="10" t="s">
        <v>114</v>
      </c>
      <c r="AJ413" s="10" t="s">
        <v>114</v>
      </c>
      <c r="AK413" s="10" t="s">
        <v>114</v>
      </c>
      <c r="AL413" s="10" t="s">
        <v>114</v>
      </c>
      <c r="AM413" s="10" t="s">
        <v>114</v>
      </c>
      <c r="AN413" s="10" t="s">
        <v>114</v>
      </c>
      <c r="AO413" s="10" t="s">
        <v>114</v>
      </c>
      <c r="AP413" s="10" t="s">
        <v>114</v>
      </c>
      <c r="AQ413" s="10" t="s">
        <v>114</v>
      </c>
      <c r="AR413" s="10" t="s">
        <v>114</v>
      </c>
      <c r="AS413" s="10" t="s">
        <v>114</v>
      </c>
      <c r="AT413" s="10" t="s">
        <v>114</v>
      </c>
      <c r="AU413" s="10" t="s">
        <v>114</v>
      </c>
      <c r="AV413" s="10">
        <v>8.9386873083681179E-2</v>
      </c>
      <c r="AW413" s="10">
        <v>23.022143516364423</v>
      </c>
      <c r="AX413" s="10" t="s">
        <v>114</v>
      </c>
      <c r="AY413" s="10" t="s">
        <v>114</v>
      </c>
      <c r="AZ413" s="10" t="s">
        <v>114</v>
      </c>
      <c r="BA413" s="10" t="s">
        <v>114</v>
      </c>
      <c r="BB413" s="10" t="s">
        <v>114</v>
      </c>
      <c r="BC413" s="10" t="s">
        <v>114</v>
      </c>
      <c r="BD413" s="10" t="s">
        <v>114</v>
      </c>
    </row>
    <row r="414" spans="1:56" x14ac:dyDescent="0.3">
      <c r="A414" t="s">
        <v>500</v>
      </c>
      <c r="B414" t="s">
        <v>484</v>
      </c>
      <c r="C414" s="10">
        <v>7090.8654854928354</v>
      </c>
      <c r="D414" s="10">
        <v>3003.7263781382471</v>
      </c>
      <c r="E414" s="10">
        <v>57.858205799522644</v>
      </c>
      <c r="F414" s="10">
        <v>168947.46549073298</v>
      </c>
      <c r="G414" s="10">
        <v>254.15588351242778</v>
      </c>
      <c r="H414" s="10">
        <v>381417.49295512273</v>
      </c>
      <c r="I414" s="10">
        <v>378948.14749219595</v>
      </c>
      <c r="J414" s="10" t="s">
        <v>114</v>
      </c>
      <c r="K414" s="10" t="s">
        <v>114</v>
      </c>
      <c r="L414" s="10">
        <v>1.1522515018060187</v>
      </c>
      <c r="M414" s="10">
        <v>28.808343186556321</v>
      </c>
      <c r="N414" s="10" t="s">
        <v>114</v>
      </c>
      <c r="O414" s="10">
        <v>11.438804228924113</v>
      </c>
      <c r="P414" s="10" t="s">
        <v>114</v>
      </c>
      <c r="Q414" s="10">
        <v>5.3741280089537034</v>
      </c>
      <c r="R414" s="10" t="s">
        <v>114</v>
      </c>
      <c r="S414" s="10" t="s">
        <v>114</v>
      </c>
      <c r="T414" s="10">
        <v>162.26902593517769</v>
      </c>
      <c r="U414" s="10">
        <v>153.87617707852104</v>
      </c>
      <c r="V414" s="10" t="s">
        <v>114</v>
      </c>
      <c r="W414" s="10" t="s">
        <v>114</v>
      </c>
      <c r="X414" s="10" t="s">
        <v>114</v>
      </c>
      <c r="Y414" s="10">
        <v>99.440700454575634</v>
      </c>
      <c r="Z414" s="10" t="s">
        <v>114</v>
      </c>
      <c r="AA414" s="10" t="s">
        <v>114</v>
      </c>
      <c r="AB414" s="10" t="s">
        <v>114</v>
      </c>
      <c r="AC414" s="10" t="s">
        <v>114</v>
      </c>
      <c r="AD414" s="10" t="s">
        <v>114</v>
      </c>
      <c r="AE414" s="10" t="s">
        <v>114</v>
      </c>
      <c r="AF414" s="10">
        <v>1.5011066704307854E-3</v>
      </c>
      <c r="AG414" s="10">
        <v>4.1683074266354883</v>
      </c>
      <c r="AH414" s="10">
        <v>0.14678675738591265</v>
      </c>
      <c r="AI414" s="10">
        <v>0.27179163954616758</v>
      </c>
      <c r="AJ414" s="10">
        <v>2.8785320386591103E-2</v>
      </c>
      <c r="AK414" s="10">
        <v>0.10727032978265852</v>
      </c>
      <c r="AL414" s="10" t="s">
        <v>114</v>
      </c>
      <c r="AM414" s="10" t="s">
        <v>114</v>
      </c>
      <c r="AN414" s="10">
        <v>2.7088664473145781E-2</v>
      </c>
      <c r="AO414" s="10" t="s">
        <v>114</v>
      </c>
      <c r="AP414" s="10">
        <v>2.5998418662864516E-2</v>
      </c>
      <c r="AQ414" s="10" t="s">
        <v>114</v>
      </c>
      <c r="AR414" s="10" t="s">
        <v>114</v>
      </c>
      <c r="AS414" s="10" t="s">
        <v>114</v>
      </c>
      <c r="AT414" s="10">
        <v>1.5828378075066221E-2</v>
      </c>
      <c r="AU414" s="10" t="s">
        <v>114</v>
      </c>
      <c r="AV414" s="10" t="s">
        <v>114</v>
      </c>
      <c r="AW414" s="10">
        <v>22.177360376796273</v>
      </c>
      <c r="AX414" s="10" t="s">
        <v>114</v>
      </c>
      <c r="AY414" s="10" t="s">
        <v>114</v>
      </c>
      <c r="AZ414" s="10" t="s">
        <v>114</v>
      </c>
      <c r="BA414" s="10" t="s">
        <v>114</v>
      </c>
      <c r="BB414" s="10" t="s">
        <v>114</v>
      </c>
      <c r="BC414" s="10" t="s">
        <v>114</v>
      </c>
      <c r="BD414" s="10">
        <v>0.6164340006175697</v>
      </c>
    </row>
    <row r="415" spans="1:56" x14ac:dyDescent="0.3">
      <c r="A415" t="s">
        <v>501</v>
      </c>
      <c r="B415" t="s">
        <v>484</v>
      </c>
      <c r="C415" s="10">
        <v>8779.1347990986778</v>
      </c>
      <c r="D415" s="10">
        <v>3541.4695881592379</v>
      </c>
      <c r="E415" s="10">
        <v>85.48328653116539</v>
      </c>
      <c r="F415" s="10">
        <v>151724.30642508887</v>
      </c>
      <c r="G415" s="10">
        <v>253.17660035975817</v>
      </c>
      <c r="H415" s="10">
        <v>346997.18199967232</v>
      </c>
      <c r="I415" s="10">
        <v>344415.38020448457</v>
      </c>
      <c r="J415" s="10">
        <v>18.437121899489568</v>
      </c>
      <c r="K415" s="10">
        <v>0.36869279012823142</v>
      </c>
      <c r="L415" s="10">
        <v>3.3282673879104894</v>
      </c>
      <c r="M415" s="10">
        <v>19.92486810221402</v>
      </c>
      <c r="N415" s="10">
        <v>50.633626491682726</v>
      </c>
      <c r="O415" s="10">
        <v>55.190837948653204</v>
      </c>
      <c r="P415" s="10" t="s">
        <v>114</v>
      </c>
      <c r="Q415" s="10" t="s">
        <v>114</v>
      </c>
      <c r="R415" s="10" t="s">
        <v>114</v>
      </c>
      <c r="S415" s="10" t="s">
        <v>114</v>
      </c>
      <c r="T415" s="10">
        <v>87.757492037576441</v>
      </c>
      <c r="U415" s="10">
        <v>82.558699143391166</v>
      </c>
      <c r="V415" s="10" t="s">
        <v>114</v>
      </c>
      <c r="W415" s="10" t="s">
        <v>114</v>
      </c>
      <c r="X415" s="10" t="s">
        <v>114</v>
      </c>
      <c r="Y415" s="10">
        <v>164.91235651198244</v>
      </c>
      <c r="Z415" s="10" t="s">
        <v>114</v>
      </c>
      <c r="AA415" s="10" t="s">
        <v>114</v>
      </c>
      <c r="AB415" s="10" t="s">
        <v>114</v>
      </c>
      <c r="AC415" s="10" t="s">
        <v>114</v>
      </c>
      <c r="AD415" s="10" t="s">
        <v>114</v>
      </c>
      <c r="AE415" s="10" t="s">
        <v>114</v>
      </c>
      <c r="AF415" s="10">
        <v>1.4777087274088984E-3</v>
      </c>
      <c r="AG415" s="10">
        <v>1.7864023253054069</v>
      </c>
      <c r="AH415" s="10">
        <v>6.9065792110240498E-2</v>
      </c>
      <c r="AI415" s="10">
        <v>0.17067321472285935</v>
      </c>
      <c r="AJ415" s="10">
        <v>1.1913984534150001E-2</v>
      </c>
      <c r="AK415" s="10">
        <v>6.356928937391014E-2</v>
      </c>
      <c r="AL415" s="10" t="s">
        <v>114</v>
      </c>
      <c r="AM415" s="10" t="s">
        <v>114</v>
      </c>
      <c r="AN415" s="10">
        <v>1.2807428506850958E-2</v>
      </c>
      <c r="AO415" s="10" t="s">
        <v>114</v>
      </c>
      <c r="AP415" s="10">
        <v>9.2212191925188109E-3</v>
      </c>
      <c r="AQ415" s="10" t="s">
        <v>114</v>
      </c>
      <c r="AR415" s="10">
        <v>1.1239049261147594E-2</v>
      </c>
      <c r="AS415" s="10" t="s">
        <v>114</v>
      </c>
      <c r="AT415" s="10" t="s">
        <v>114</v>
      </c>
      <c r="AU415" s="10" t="s">
        <v>114</v>
      </c>
      <c r="AV415" s="10">
        <v>7.1250566461323578E-2</v>
      </c>
      <c r="AW415" s="10">
        <v>22.122555301185802</v>
      </c>
      <c r="AX415" s="10" t="s">
        <v>114</v>
      </c>
      <c r="AY415" s="10" t="s">
        <v>114</v>
      </c>
      <c r="AZ415" s="10" t="s">
        <v>114</v>
      </c>
      <c r="BA415" s="10" t="s">
        <v>114</v>
      </c>
      <c r="BB415" s="10" t="s">
        <v>114</v>
      </c>
      <c r="BC415" s="10" t="s">
        <v>114</v>
      </c>
      <c r="BD415" s="10">
        <v>0.13502162853247174</v>
      </c>
    </row>
    <row r="416" spans="1:56" x14ac:dyDescent="0.3">
      <c r="A416" t="s">
        <v>502</v>
      </c>
      <c r="B416" t="s">
        <v>484</v>
      </c>
      <c r="C416" s="10">
        <v>7366.9318273851341</v>
      </c>
      <c r="D416" s="10">
        <v>3078.3844089949494</v>
      </c>
      <c r="E416" s="10">
        <v>184.23162637319982</v>
      </c>
      <c r="F416" s="10">
        <v>127047.19806507636</v>
      </c>
      <c r="G416" s="10">
        <v>247.04423440924288</v>
      </c>
      <c r="H416" s="10">
        <v>288318.89366808225</v>
      </c>
      <c r="I416" s="10">
        <v>287335.47559156182</v>
      </c>
      <c r="J416" s="10">
        <v>34.286622064481143</v>
      </c>
      <c r="K416" s="10">
        <v>0.42529274790720134</v>
      </c>
      <c r="L416" s="10">
        <v>1.3056032066333054</v>
      </c>
      <c r="M416" s="10">
        <v>18.557262222119846</v>
      </c>
      <c r="N416" s="10">
        <v>67.894743237847038</v>
      </c>
      <c r="O416" s="10">
        <v>71.711898638618962</v>
      </c>
      <c r="P416" s="10" t="s">
        <v>114</v>
      </c>
      <c r="Q416" s="10">
        <v>7.1883005322740248</v>
      </c>
      <c r="R416" s="10" t="s">
        <v>114</v>
      </c>
      <c r="S416" s="10" t="s">
        <v>114</v>
      </c>
      <c r="T416" s="10">
        <v>58.063800657296945</v>
      </c>
      <c r="U416" s="10">
        <v>55.28164383162855</v>
      </c>
      <c r="V416" s="10">
        <v>1.1841009619556024</v>
      </c>
      <c r="W416" s="10" t="s">
        <v>114</v>
      </c>
      <c r="X416" s="10" t="s">
        <v>114</v>
      </c>
      <c r="Y416" s="10">
        <v>113.19016357299546</v>
      </c>
      <c r="Z416" s="10" t="s">
        <v>114</v>
      </c>
      <c r="AA416" s="10">
        <v>0.96625047289018862</v>
      </c>
      <c r="AB416" s="10">
        <v>0.9507448223074626</v>
      </c>
      <c r="AC416" s="10" t="s">
        <v>114</v>
      </c>
      <c r="AD416" s="10" t="s">
        <v>114</v>
      </c>
      <c r="AE416" s="10" t="s">
        <v>114</v>
      </c>
      <c r="AF416" s="10">
        <v>3.788747208802604E-3</v>
      </c>
      <c r="AG416" s="10">
        <v>2.553343476434399</v>
      </c>
      <c r="AH416" s="10">
        <v>6.632616711756889E-2</v>
      </c>
      <c r="AI416" s="10">
        <v>0.15951939774201895</v>
      </c>
      <c r="AJ416" s="10">
        <v>1.0458325951396827E-2</v>
      </c>
      <c r="AK416" s="10">
        <v>7.0945185504596914E-2</v>
      </c>
      <c r="AL416" s="10" t="s">
        <v>114</v>
      </c>
      <c r="AM416" s="10" t="s">
        <v>114</v>
      </c>
      <c r="AN416" s="10">
        <v>1.694953060325792E-2</v>
      </c>
      <c r="AO416" s="10" t="s">
        <v>114</v>
      </c>
      <c r="AP416" s="10">
        <v>1.7135074322133664E-2</v>
      </c>
      <c r="AQ416" s="10" t="s">
        <v>114</v>
      </c>
      <c r="AR416" s="10" t="s">
        <v>114</v>
      </c>
      <c r="AS416" s="10" t="s">
        <v>114</v>
      </c>
      <c r="AT416" s="10" t="s">
        <v>114</v>
      </c>
      <c r="AU416" s="10" t="s">
        <v>114</v>
      </c>
      <c r="AV416" s="10">
        <v>0.3857347751353869</v>
      </c>
      <c r="AW416" s="10">
        <v>22.470734371307223</v>
      </c>
      <c r="AX416" s="10" t="s">
        <v>114</v>
      </c>
      <c r="AY416" s="10" t="s">
        <v>114</v>
      </c>
      <c r="AZ416" s="10" t="s">
        <v>114</v>
      </c>
      <c r="BA416" s="10" t="s">
        <v>114</v>
      </c>
      <c r="BB416" s="10" t="s">
        <v>114</v>
      </c>
      <c r="BC416" s="10">
        <v>0.20310533453050472</v>
      </c>
      <c r="BD416" s="10">
        <v>0.26250777618888615</v>
      </c>
    </row>
    <row r="417" spans="1:56" x14ac:dyDescent="0.3">
      <c r="A417" t="s">
        <v>503</v>
      </c>
      <c r="B417" t="s">
        <v>484</v>
      </c>
      <c r="C417" s="10">
        <v>5659.3492665733711</v>
      </c>
      <c r="D417" s="10">
        <v>2149.2966190508037</v>
      </c>
      <c r="E417" s="10">
        <v>49.554472803925449</v>
      </c>
      <c r="F417" s="10">
        <v>155156.26120956484</v>
      </c>
      <c r="G417" s="10">
        <v>193.3926799516336</v>
      </c>
      <c r="H417" s="10">
        <v>352503.306753824</v>
      </c>
      <c r="I417" s="10">
        <v>351900.20129302272</v>
      </c>
      <c r="J417" s="10" t="s">
        <v>114</v>
      </c>
      <c r="K417" s="10" t="s">
        <v>114</v>
      </c>
      <c r="L417" s="10">
        <v>1.2283101183130609</v>
      </c>
      <c r="M417" s="10">
        <v>17.443045202418119</v>
      </c>
      <c r="N417" s="10">
        <v>11.589644008303686</v>
      </c>
      <c r="O417" s="10">
        <v>17.05710430018576</v>
      </c>
      <c r="P417" s="10" t="s">
        <v>114</v>
      </c>
      <c r="Q417" s="10">
        <v>1.9266665599490438</v>
      </c>
      <c r="R417" s="10" t="s">
        <v>114</v>
      </c>
      <c r="S417" s="10" t="s">
        <v>114</v>
      </c>
      <c r="T417" s="10">
        <v>255.50158430922622</v>
      </c>
      <c r="U417" s="10">
        <v>243.624972700694</v>
      </c>
      <c r="V417" s="10" t="s">
        <v>114</v>
      </c>
      <c r="W417" s="10" t="s">
        <v>114</v>
      </c>
      <c r="X417" s="10" t="s">
        <v>114</v>
      </c>
      <c r="Y417" s="10">
        <v>175.14716404681604</v>
      </c>
      <c r="Z417" s="10" t="s">
        <v>114</v>
      </c>
      <c r="AA417" s="10">
        <v>0.3719928671259265</v>
      </c>
      <c r="AB417" s="10">
        <v>0.52049419567467881</v>
      </c>
      <c r="AC417" s="10" t="s">
        <v>114</v>
      </c>
      <c r="AD417" s="10" t="s">
        <v>114</v>
      </c>
      <c r="AE417" s="10" t="s">
        <v>114</v>
      </c>
      <c r="AF417" s="10">
        <v>3.1539819388271611E-3</v>
      </c>
      <c r="AG417" s="10">
        <v>2.1130156273165257</v>
      </c>
      <c r="AH417" s="10">
        <v>9.4090921880418898E-2</v>
      </c>
      <c r="AI417" s="10">
        <v>0.24944766741891658</v>
      </c>
      <c r="AJ417" s="10">
        <v>1.8822219694418451E-2</v>
      </c>
      <c r="AK417" s="10">
        <v>9.4261967510797656E-2</v>
      </c>
      <c r="AL417" s="10" t="s">
        <v>114</v>
      </c>
      <c r="AM417" s="10" t="s">
        <v>114</v>
      </c>
      <c r="AN417" s="10">
        <v>1.9637491242756305E-2</v>
      </c>
      <c r="AO417" s="10" t="s">
        <v>114</v>
      </c>
      <c r="AP417" s="10">
        <v>2.2463045528706226E-2</v>
      </c>
      <c r="AQ417" s="10" t="s">
        <v>114</v>
      </c>
      <c r="AR417" s="10">
        <v>1.3213381584770742E-2</v>
      </c>
      <c r="AS417" s="10" t="s">
        <v>114</v>
      </c>
      <c r="AT417" s="10" t="s">
        <v>114</v>
      </c>
      <c r="AU417" s="10" t="s">
        <v>114</v>
      </c>
      <c r="AV417" s="10">
        <v>0.28360679087083229</v>
      </c>
      <c r="AW417" s="10">
        <v>23.527047043575301</v>
      </c>
      <c r="AX417" s="10" t="s">
        <v>114</v>
      </c>
      <c r="AY417" s="10" t="s">
        <v>114</v>
      </c>
      <c r="AZ417" s="10">
        <v>3.2003972453707843</v>
      </c>
      <c r="BA417" s="10">
        <v>2.8096208316344078</v>
      </c>
      <c r="BB417" s="10">
        <v>2.9629304089029072</v>
      </c>
      <c r="BC417" s="10" t="s">
        <v>114</v>
      </c>
      <c r="BD417" s="10" t="s">
        <v>114</v>
      </c>
    </row>
    <row r="418" spans="1:56" x14ac:dyDescent="0.3">
      <c r="A418" t="s">
        <v>504</v>
      </c>
      <c r="B418" t="s">
        <v>484</v>
      </c>
      <c r="C418" s="10">
        <v>7040.58549565866</v>
      </c>
      <c r="D418" s="10">
        <v>3390.5506321611006</v>
      </c>
      <c r="E418" s="10">
        <v>46.335623955998152</v>
      </c>
      <c r="F418" s="10">
        <v>131223.96390073816</v>
      </c>
      <c r="G418" s="10">
        <v>197.26729848016015</v>
      </c>
      <c r="H418" s="10">
        <v>299349.2511809172</v>
      </c>
      <c r="I418" s="10">
        <v>301171.93952585245</v>
      </c>
      <c r="J418" s="10" t="s">
        <v>114</v>
      </c>
      <c r="K418" s="10">
        <v>0.59617303832723334</v>
      </c>
      <c r="L418" s="10">
        <v>1.9738326840588214</v>
      </c>
      <c r="M418" s="10">
        <v>52.630541044406733</v>
      </c>
      <c r="N418" s="10">
        <v>68.688175553571426</v>
      </c>
      <c r="O418" s="10">
        <v>78.734718667482369</v>
      </c>
      <c r="P418" s="10" t="s">
        <v>114</v>
      </c>
      <c r="Q418" s="10" t="s">
        <v>114</v>
      </c>
      <c r="R418" s="10" t="s">
        <v>114</v>
      </c>
      <c r="S418" s="10" t="s">
        <v>114</v>
      </c>
      <c r="T418" s="10">
        <v>66.682382971754663</v>
      </c>
      <c r="U418" s="10">
        <v>62.316049380187891</v>
      </c>
      <c r="V418" s="10" t="s">
        <v>114</v>
      </c>
      <c r="W418" s="10" t="s">
        <v>114</v>
      </c>
      <c r="X418" s="10" t="s">
        <v>114</v>
      </c>
      <c r="Y418" s="10">
        <v>287.5600125090225</v>
      </c>
      <c r="Z418" s="10" t="s">
        <v>114</v>
      </c>
      <c r="AA418" s="10">
        <v>0.48172894816250578</v>
      </c>
      <c r="AB418" s="10">
        <v>0.4698916605162885</v>
      </c>
      <c r="AC418" s="10" t="s">
        <v>114</v>
      </c>
      <c r="AD418" s="10" t="s">
        <v>114</v>
      </c>
      <c r="AE418" s="10" t="s">
        <v>114</v>
      </c>
      <c r="AF418" s="10">
        <v>1.5981185401228225E-3</v>
      </c>
      <c r="AG418" s="10">
        <v>10.577965216667595</v>
      </c>
      <c r="AH418" s="10">
        <v>0.26321583337444743</v>
      </c>
      <c r="AI418" s="10">
        <v>0.64140547967157069</v>
      </c>
      <c r="AJ418" s="10">
        <v>6.0231017676412597E-2</v>
      </c>
      <c r="AK418" s="10">
        <v>0.22415056377002288</v>
      </c>
      <c r="AL418" s="10">
        <v>4.9692440254926848E-2</v>
      </c>
      <c r="AM418" s="10">
        <v>1.3242722106633605E-2</v>
      </c>
      <c r="AN418" s="10">
        <v>5.5889879128675782E-2</v>
      </c>
      <c r="AO418" s="10" t="s">
        <v>114</v>
      </c>
      <c r="AP418" s="10">
        <v>5.8962536846651814E-2</v>
      </c>
      <c r="AQ418" s="10" t="s">
        <v>114</v>
      </c>
      <c r="AR418" s="10">
        <v>3.1630746937630808E-2</v>
      </c>
      <c r="AS418" s="10">
        <v>4.3586113755027887E-3</v>
      </c>
      <c r="AT418" s="10">
        <v>2.1644215826233836E-2</v>
      </c>
      <c r="AU418" s="10">
        <v>4.7467382862340533E-3</v>
      </c>
      <c r="AV418" s="10">
        <v>0.24978096079167814</v>
      </c>
      <c r="AW418" s="10">
        <v>21.04478639177826</v>
      </c>
      <c r="AX418" s="10" t="s">
        <v>114</v>
      </c>
      <c r="AY418" s="10" t="s">
        <v>114</v>
      </c>
      <c r="AZ418" s="10">
        <v>0.8422280952895409</v>
      </c>
      <c r="BA418" s="10">
        <v>0.71983678748360902</v>
      </c>
      <c r="BB418" s="10">
        <v>0.79012946406407469</v>
      </c>
      <c r="BC418" s="10" t="s">
        <v>114</v>
      </c>
      <c r="BD418" s="10">
        <v>2.2907127066871515</v>
      </c>
    </row>
    <row r="419" spans="1:56" x14ac:dyDescent="0.3">
      <c r="A419" t="s">
        <v>505</v>
      </c>
      <c r="B419" t="s">
        <v>484</v>
      </c>
      <c r="C419" s="10">
        <v>7522.3333119682748</v>
      </c>
      <c r="D419" s="10">
        <v>2762.6147119589773</v>
      </c>
      <c r="E419" s="10">
        <v>110.80551220385168</v>
      </c>
      <c r="F419" s="10">
        <v>175584.29713826624</v>
      </c>
      <c r="G419" s="10">
        <v>273.46762282130697</v>
      </c>
      <c r="H419" s="10">
        <v>402069.62262681371</v>
      </c>
      <c r="I419" s="10">
        <v>398082.09261764807</v>
      </c>
      <c r="J419" s="10" t="s">
        <v>114</v>
      </c>
      <c r="K419" s="10" t="s">
        <v>114</v>
      </c>
      <c r="L419" s="10">
        <v>1.4717009952481626</v>
      </c>
      <c r="M419" s="10">
        <v>21.496720915959102</v>
      </c>
      <c r="N419" s="10">
        <v>48.761893138591809</v>
      </c>
      <c r="O419" s="10">
        <v>51.928238421532271</v>
      </c>
      <c r="P419" s="10" t="s">
        <v>114</v>
      </c>
      <c r="Q419" s="10">
        <v>6.0705689457397876</v>
      </c>
      <c r="R419" s="10" t="s">
        <v>114</v>
      </c>
      <c r="S419" s="10" t="s">
        <v>114</v>
      </c>
      <c r="T419" s="10">
        <v>208.34475357816956</v>
      </c>
      <c r="U419" s="10">
        <v>199.21430019252779</v>
      </c>
      <c r="V419" s="10" t="s">
        <v>114</v>
      </c>
      <c r="W419" s="10" t="s">
        <v>114</v>
      </c>
      <c r="X419" s="10" t="s">
        <v>114</v>
      </c>
      <c r="Y419" s="10">
        <v>214.86334785309342</v>
      </c>
      <c r="Z419" s="10" t="s">
        <v>114</v>
      </c>
      <c r="AA419" s="10" t="s">
        <v>114</v>
      </c>
      <c r="AB419" s="10" t="s">
        <v>114</v>
      </c>
      <c r="AC419" s="10" t="s">
        <v>114</v>
      </c>
      <c r="AD419" s="10" t="s">
        <v>114</v>
      </c>
      <c r="AE419" s="10" t="s">
        <v>114</v>
      </c>
      <c r="AF419" s="10">
        <v>3.9613740475896208E-3</v>
      </c>
      <c r="AG419" s="10">
        <v>2.6753367086903261</v>
      </c>
      <c r="AH419" s="10">
        <v>0.18128962497792298</v>
      </c>
      <c r="AI419" s="10">
        <v>0.41227990687928534</v>
      </c>
      <c r="AJ419" s="10">
        <v>3.6908031537220984E-2</v>
      </c>
      <c r="AK419" s="10">
        <v>0.15550289998330966</v>
      </c>
      <c r="AL419" s="10">
        <v>2.2182770140899078E-2</v>
      </c>
      <c r="AM419" s="10">
        <v>9.0325552889892868E-3</v>
      </c>
      <c r="AN419" s="10">
        <v>3.4356310684612222E-2</v>
      </c>
      <c r="AO419" s="10" t="s">
        <v>114</v>
      </c>
      <c r="AP419" s="10">
        <v>3.337874247569287E-2</v>
      </c>
      <c r="AQ419" s="10" t="s">
        <v>114</v>
      </c>
      <c r="AR419" s="10" t="s">
        <v>114</v>
      </c>
      <c r="AS419" s="10" t="s">
        <v>114</v>
      </c>
      <c r="AT419" s="10" t="s">
        <v>114</v>
      </c>
      <c r="AU419" s="10" t="s">
        <v>114</v>
      </c>
      <c r="AV419" s="10">
        <v>0.12186139428356457</v>
      </c>
      <c r="AW419" s="10">
        <v>22.83728254462725</v>
      </c>
      <c r="AX419" s="10" t="s">
        <v>114</v>
      </c>
      <c r="AY419" s="10" t="s">
        <v>114</v>
      </c>
      <c r="AZ419" s="10" t="s">
        <v>114</v>
      </c>
      <c r="BA419" s="10" t="s">
        <v>114</v>
      </c>
      <c r="BB419" s="10" t="s">
        <v>114</v>
      </c>
      <c r="BC419" s="10" t="s">
        <v>114</v>
      </c>
      <c r="BD419" s="10" t="s">
        <v>114</v>
      </c>
    </row>
    <row r="420" spans="1:56" x14ac:dyDescent="0.3">
      <c r="A420" t="s">
        <v>506</v>
      </c>
      <c r="B420" t="s">
        <v>484</v>
      </c>
      <c r="C420" s="10">
        <v>8067.8520424316175</v>
      </c>
      <c r="D420" s="10">
        <v>3283.4341805932922</v>
      </c>
      <c r="E420" s="10">
        <v>114.14692003270399</v>
      </c>
      <c r="F420" s="10">
        <v>193378.52260194992</v>
      </c>
      <c r="G420" s="10">
        <v>264.2023513437461</v>
      </c>
      <c r="H420" s="10">
        <v>438878.27955266385</v>
      </c>
      <c r="I420" s="10">
        <v>434481.16324712883</v>
      </c>
      <c r="J420" s="10" t="s">
        <v>114</v>
      </c>
      <c r="K420" s="10" t="s">
        <v>114</v>
      </c>
      <c r="L420" s="10">
        <v>1.5141058023647895</v>
      </c>
      <c r="M420" s="10">
        <v>21.092331075202729</v>
      </c>
      <c r="N420" s="10">
        <v>9.0347420994646157</v>
      </c>
      <c r="O420" s="10">
        <v>12.85264547600409</v>
      </c>
      <c r="P420" s="10" t="s">
        <v>114</v>
      </c>
      <c r="Q420" s="10" t="s">
        <v>114</v>
      </c>
      <c r="R420" s="10" t="s">
        <v>114</v>
      </c>
      <c r="S420" s="10" t="s">
        <v>114</v>
      </c>
      <c r="T420" s="10">
        <v>318.83220949200035</v>
      </c>
      <c r="U420" s="10">
        <v>304.8701438824819</v>
      </c>
      <c r="V420" s="10" t="s">
        <v>114</v>
      </c>
      <c r="W420" s="10" t="s">
        <v>114</v>
      </c>
      <c r="X420" s="10" t="s">
        <v>114</v>
      </c>
      <c r="Y420" s="10">
        <v>110.09573817354689</v>
      </c>
      <c r="Z420" s="10" t="s">
        <v>114</v>
      </c>
      <c r="AA420" s="10" t="s">
        <v>114</v>
      </c>
      <c r="AB420" s="10" t="s">
        <v>114</v>
      </c>
      <c r="AC420" s="10" t="s">
        <v>114</v>
      </c>
      <c r="AD420" s="10" t="s">
        <v>114</v>
      </c>
      <c r="AE420" s="10" t="s">
        <v>114</v>
      </c>
      <c r="AF420" s="10">
        <v>3.1009463633107207E-3</v>
      </c>
      <c r="AG420" s="10">
        <v>1.784700781985354</v>
      </c>
      <c r="AH420" s="10">
        <v>8.7070267206934518E-2</v>
      </c>
      <c r="AI420" s="10">
        <v>0.2101723058282878</v>
      </c>
      <c r="AJ420" s="10">
        <v>1.6238684479653556E-2</v>
      </c>
      <c r="AK420" s="10">
        <v>7.6840039673193472E-2</v>
      </c>
      <c r="AL420" s="10" t="s">
        <v>114</v>
      </c>
      <c r="AM420" s="10" t="s">
        <v>114</v>
      </c>
      <c r="AN420" s="10">
        <v>1.920599116162541E-2</v>
      </c>
      <c r="AO420" s="10" t="s">
        <v>114</v>
      </c>
      <c r="AP420" s="10">
        <v>2.0087459004333501E-2</v>
      </c>
      <c r="AQ420" s="10" t="s">
        <v>114</v>
      </c>
      <c r="AR420" s="10">
        <v>1.1735036958922822E-2</v>
      </c>
      <c r="AS420" s="10" t="s">
        <v>114</v>
      </c>
      <c r="AT420" s="10" t="s">
        <v>114</v>
      </c>
      <c r="AU420" s="10" t="s">
        <v>114</v>
      </c>
      <c r="AV420" s="10" t="s">
        <v>114</v>
      </c>
      <c r="AW420" s="10">
        <v>23.157618709954676</v>
      </c>
      <c r="AX420" s="10" t="s">
        <v>114</v>
      </c>
      <c r="AY420" s="10" t="s">
        <v>114</v>
      </c>
      <c r="AZ420" s="10" t="s">
        <v>114</v>
      </c>
      <c r="BA420" s="10" t="s">
        <v>114</v>
      </c>
      <c r="BB420" s="10" t="s">
        <v>114</v>
      </c>
      <c r="BC420" s="10" t="s">
        <v>114</v>
      </c>
      <c r="BD420" s="10" t="s">
        <v>114</v>
      </c>
    </row>
    <row r="421" spans="1:56" x14ac:dyDescent="0.3">
      <c r="A421" t="s">
        <v>507</v>
      </c>
      <c r="B421" t="s">
        <v>484</v>
      </c>
      <c r="C421" s="10">
        <v>7192.9001350143517</v>
      </c>
      <c r="D421" s="10">
        <v>3384.6431088515901</v>
      </c>
      <c r="E421" s="10">
        <v>46.533507036716045</v>
      </c>
      <c r="F421" s="10">
        <v>162773.87562678172</v>
      </c>
      <c r="G421" s="10">
        <v>221.00836297742683</v>
      </c>
      <c r="H421" s="10">
        <v>366694.07210621762</v>
      </c>
      <c r="I421" s="10">
        <v>368308.78079076175</v>
      </c>
      <c r="J421" s="10" t="s">
        <v>114</v>
      </c>
      <c r="K421" s="10" t="s">
        <v>114</v>
      </c>
      <c r="L421" s="10">
        <v>1.3551242262705976</v>
      </c>
      <c r="M421" s="10">
        <v>16.943591376330691</v>
      </c>
      <c r="N421" s="10">
        <v>21.218468908117313</v>
      </c>
      <c r="O421" s="10">
        <v>27.506958122581928</v>
      </c>
      <c r="P421" s="10" t="s">
        <v>114</v>
      </c>
      <c r="Q421" s="10" t="s">
        <v>114</v>
      </c>
      <c r="R421" s="10" t="s">
        <v>114</v>
      </c>
      <c r="S421" s="10" t="s">
        <v>114</v>
      </c>
      <c r="T421" s="10">
        <v>102.24245701671298</v>
      </c>
      <c r="U421" s="10">
        <v>97.699065457989207</v>
      </c>
      <c r="V421" s="10" t="s">
        <v>114</v>
      </c>
      <c r="W421" s="10" t="s">
        <v>114</v>
      </c>
      <c r="X421" s="10" t="s">
        <v>114</v>
      </c>
      <c r="Y421" s="10">
        <v>230.87036805778428</v>
      </c>
      <c r="Z421" s="10" t="s">
        <v>114</v>
      </c>
      <c r="AA421" s="10" t="s">
        <v>114</v>
      </c>
      <c r="AB421" s="10" t="s">
        <v>114</v>
      </c>
      <c r="AC421" s="10" t="s">
        <v>114</v>
      </c>
      <c r="AD421" s="10" t="s">
        <v>114</v>
      </c>
      <c r="AE421" s="10" t="s">
        <v>114</v>
      </c>
      <c r="AF421" s="10">
        <v>2.7166412132357677E-3</v>
      </c>
      <c r="AG421" s="10">
        <v>3.4981425313358221</v>
      </c>
      <c r="AH421" s="10" t="s">
        <v>114</v>
      </c>
      <c r="AI421" s="10" t="s">
        <v>114</v>
      </c>
      <c r="AJ421" s="10" t="s">
        <v>114</v>
      </c>
      <c r="AK421" s="10" t="s">
        <v>114</v>
      </c>
      <c r="AL421" s="10" t="s">
        <v>114</v>
      </c>
      <c r="AM421" s="10" t="s">
        <v>114</v>
      </c>
      <c r="AN421" s="10" t="s">
        <v>114</v>
      </c>
      <c r="AO421" s="10" t="s">
        <v>114</v>
      </c>
      <c r="AP421" s="10" t="s">
        <v>114</v>
      </c>
      <c r="AQ421" s="10" t="s">
        <v>114</v>
      </c>
      <c r="AR421" s="10" t="s">
        <v>114</v>
      </c>
      <c r="AS421" s="10" t="s">
        <v>114</v>
      </c>
      <c r="AT421" s="10" t="s">
        <v>114</v>
      </c>
      <c r="AU421" s="10" t="s">
        <v>114</v>
      </c>
      <c r="AV421" s="10" t="s">
        <v>114</v>
      </c>
      <c r="AW421" s="10">
        <v>21.51967563256796</v>
      </c>
      <c r="AX421" s="10" t="s">
        <v>114</v>
      </c>
      <c r="AY421" s="10" t="s">
        <v>114</v>
      </c>
      <c r="AZ421" s="10" t="s">
        <v>114</v>
      </c>
      <c r="BA421" s="10" t="s">
        <v>114</v>
      </c>
      <c r="BB421" s="10" t="s">
        <v>114</v>
      </c>
      <c r="BC421" s="10" t="s">
        <v>114</v>
      </c>
      <c r="BD421" s="10" t="s">
        <v>114</v>
      </c>
    </row>
    <row r="422" spans="1:56" x14ac:dyDescent="0.3">
      <c r="A422" t="s">
        <v>508</v>
      </c>
      <c r="B422" t="s">
        <v>484</v>
      </c>
      <c r="C422" s="10">
        <v>6593.9752547959806</v>
      </c>
      <c r="D422" s="10">
        <v>4260.6116504019237</v>
      </c>
      <c r="E422" s="10">
        <v>79.752774015590376</v>
      </c>
      <c r="F422" s="10">
        <v>139726.35176059202</v>
      </c>
      <c r="G422" s="10">
        <v>217.23378406564547</v>
      </c>
      <c r="H422" s="10">
        <v>321930.37833263498</v>
      </c>
      <c r="I422" s="10">
        <v>322517.34138388117</v>
      </c>
      <c r="J422" s="10" t="s">
        <v>114</v>
      </c>
      <c r="K422" s="10">
        <v>0.53926228094820938</v>
      </c>
      <c r="L422" s="10">
        <v>1.340613409787935</v>
      </c>
      <c r="M422" s="10">
        <v>21.48454847452679</v>
      </c>
      <c r="N422" s="10">
        <v>15.331744515782432</v>
      </c>
      <c r="O422" s="10">
        <v>19.867958307977275</v>
      </c>
      <c r="P422" s="10" t="s">
        <v>114</v>
      </c>
      <c r="Q422" s="10" t="s">
        <v>114</v>
      </c>
      <c r="R422" s="10" t="s">
        <v>114</v>
      </c>
      <c r="S422" s="10" t="s">
        <v>114</v>
      </c>
      <c r="T422" s="10">
        <v>117.19344764383874</v>
      </c>
      <c r="U422" s="10">
        <v>114.30188537854137</v>
      </c>
      <c r="V422" s="10" t="s">
        <v>114</v>
      </c>
      <c r="W422" s="10" t="s">
        <v>114</v>
      </c>
      <c r="X422" s="10" t="s">
        <v>114</v>
      </c>
      <c r="Y422" s="10">
        <v>196.47652926253744</v>
      </c>
      <c r="Z422" s="10" t="s">
        <v>114</v>
      </c>
      <c r="AA422" s="10">
        <v>1.0396426031172115</v>
      </c>
      <c r="AB422" s="10">
        <v>0.85350120392592421</v>
      </c>
      <c r="AC422" s="10" t="s">
        <v>114</v>
      </c>
      <c r="AD422" s="10" t="s">
        <v>114</v>
      </c>
      <c r="AE422" s="10" t="s">
        <v>114</v>
      </c>
      <c r="AF422" s="10">
        <v>4.5899020072395977E-3</v>
      </c>
      <c r="AG422" s="10">
        <v>2.7026451815526373</v>
      </c>
      <c r="AH422" s="10">
        <v>7.0049986265779282E-2</v>
      </c>
      <c r="AI422" s="10">
        <v>0.16726905479947862</v>
      </c>
      <c r="AJ422" s="10">
        <v>1.8808178195880133E-2</v>
      </c>
      <c r="AK422" s="10">
        <v>6.1573589389165718E-2</v>
      </c>
      <c r="AL422" s="10" t="s">
        <v>114</v>
      </c>
      <c r="AM422" s="10" t="s">
        <v>114</v>
      </c>
      <c r="AN422" s="10">
        <v>1.9357443434765146E-2</v>
      </c>
      <c r="AO422" s="10" t="s">
        <v>114</v>
      </c>
      <c r="AP422" s="10">
        <v>1.6978606011794063E-2</v>
      </c>
      <c r="AQ422" s="10" t="s">
        <v>114</v>
      </c>
      <c r="AR422" s="10" t="s">
        <v>114</v>
      </c>
      <c r="AS422" s="10" t="s">
        <v>114</v>
      </c>
      <c r="AT422" s="10" t="s">
        <v>114</v>
      </c>
      <c r="AU422" s="10" t="s">
        <v>114</v>
      </c>
      <c r="AV422" s="10">
        <v>0.48653865224157694</v>
      </c>
      <c r="AW422" s="10">
        <v>22.302023428113689</v>
      </c>
      <c r="AX422" s="10" t="s">
        <v>114</v>
      </c>
      <c r="AY422" s="10" t="s">
        <v>114</v>
      </c>
      <c r="AZ422" s="10" t="s">
        <v>114</v>
      </c>
      <c r="BA422" s="10" t="s">
        <v>114</v>
      </c>
      <c r="BB422" s="10" t="s">
        <v>114</v>
      </c>
      <c r="BC422" s="10">
        <v>0.22169519945320068</v>
      </c>
      <c r="BD422" s="10">
        <v>0.10992320214409787</v>
      </c>
    </row>
    <row r="423" spans="1:56" x14ac:dyDescent="0.3">
      <c r="A423" t="s">
        <v>509</v>
      </c>
      <c r="B423" t="s">
        <v>484</v>
      </c>
      <c r="C423" s="10">
        <v>7405.3259226177206</v>
      </c>
      <c r="D423" s="10">
        <v>3396.9931965002374</v>
      </c>
      <c r="E423" s="10">
        <v>185.35125499145875</v>
      </c>
      <c r="F423" s="10">
        <v>162843.66626603453</v>
      </c>
      <c r="G423" s="10">
        <v>281.66331166285011</v>
      </c>
      <c r="H423" s="10">
        <v>374895.23902940837</v>
      </c>
      <c r="I423" s="10">
        <v>376044.36627916078</v>
      </c>
      <c r="J423" s="10" t="s">
        <v>114</v>
      </c>
      <c r="K423" s="10">
        <v>0.23517301812351088</v>
      </c>
      <c r="L423" s="10">
        <v>1.3740859372963403</v>
      </c>
      <c r="M423" s="10">
        <v>24.135677840555235</v>
      </c>
      <c r="N423" s="10">
        <v>62.538862674139658</v>
      </c>
      <c r="O423" s="10">
        <v>63.983835694779785</v>
      </c>
      <c r="P423" s="10" t="s">
        <v>114</v>
      </c>
      <c r="Q423" s="10">
        <v>13.575056408030463</v>
      </c>
      <c r="R423" s="10" t="s">
        <v>114</v>
      </c>
      <c r="S423" s="10" t="s">
        <v>114</v>
      </c>
      <c r="T423" s="10">
        <v>147.61011525973029</v>
      </c>
      <c r="U423" s="10">
        <v>139.70691265028577</v>
      </c>
      <c r="V423" s="10" t="s">
        <v>114</v>
      </c>
      <c r="W423" s="10" t="s">
        <v>114</v>
      </c>
      <c r="X423" s="10">
        <v>0.19726696043599462</v>
      </c>
      <c r="Y423" s="10">
        <v>188.33470847348858</v>
      </c>
      <c r="Z423" s="10" t="s">
        <v>114</v>
      </c>
      <c r="AA423" s="10">
        <v>0.57213658887866536</v>
      </c>
      <c r="AB423" s="10">
        <v>0.63195587090540428</v>
      </c>
      <c r="AC423" s="10" t="s">
        <v>114</v>
      </c>
      <c r="AD423" s="10" t="s">
        <v>114</v>
      </c>
      <c r="AE423" s="10" t="s">
        <v>114</v>
      </c>
      <c r="AF423" s="10">
        <v>4.6947574080520634E-3</v>
      </c>
      <c r="AG423" s="10">
        <v>4.7968464829315218</v>
      </c>
      <c r="AH423" s="10">
        <v>0.11980837819894292</v>
      </c>
      <c r="AI423" s="10">
        <v>0.23812828938932348</v>
      </c>
      <c r="AJ423" s="10">
        <v>2.1511681504463892E-2</v>
      </c>
      <c r="AK423" s="10">
        <v>0.10932580008483449</v>
      </c>
      <c r="AL423" s="10" t="s">
        <v>114</v>
      </c>
      <c r="AM423" s="10" t="s">
        <v>114</v>
      </c>
      <c r="AN423" s="10">
        <v>2.1096081676593801E-2</v>
      </c>
      <c r="AO423" s="10" t="s">
        <v>114</v>
      </c>
      <c r="AP423" s="10">
        <v>2.4119542914290245E-2</v>
      </c>
      <c r="AQ423" s="10" t="s">
        <v>114</v>
      </c>
      <c r="AR423" s="10" t="s">
        <v>114</v>
      </c>
      <c r="AS423" s="10" t="s">
        <v>114</v>
      </c>
      <c r="AT423" s="10" t="s">
        <v>114</v>
      </c>
      <c r="AU423" s="10" t="s">
        <v>114</v>
      </c>
      <c r="AV423" s="10">
        <v>0.30653364371123726</v>
      </c>
      <c r="AW423" s="10">
        <v>21.40060325312961</v>
      </c>
      <c r="AX423" s="10" t="s">
        <v>114</v>
      </c>
      <c r="AY423" s="10" t="s">
        <v>114</v>
      </c>
      <c r="AZ423" s="10" t="s">
        <v>114</v>
      </c>
      <c r="BA423" s="10" t="s">
        <v>114</v>
      </c>
      <c r="BB423" s="10" t="s">
        <v>114</v>
      </c>
      <c r="BC423" s="10" t="s">
        <v>114</v>
      </c>
      <c r="BD423" s="10">
        <v>0.54476269857209403</v>
      </c>
    </row>
    <row r="424" spans="1:56" x14ac:dyDescent="0.3">
      <c r="A424" t="s">
        <v>510</v>
      </c>
      <c r="B424" t="s">
        <v>484</v>
      </c>
      <c r="C424" s="10">
        <v>6806.0358134101461</v>
      </c>
      <c r="D424" s="10">
        <v>2629.3153632156241</v>
      </c>
      <c r="E424" s="10">
        <v>67.791100392887316</v>
      </c>
      <c r="F424" s="10">
        <v>171460.53778220323</v>
      </c>
      <c r="G424" s="10">
        <v>249.12446855705105</v>
      </c>
      <c r="H424" s="10">
        <v>383449.6669179374</v>
      </c>
      <c r="I424" s="10">
        <v>386620.51696540916</v>
      </c>
      <c r="J424" s="10">
        <v>54.483458274750866</v>
      </c>
      <c r="K424" s="10" t="s">
        <v>114</v>
      </c>
      <c r="L424" s="10">
        <v>1.1953388290974694</v>
      </c>
      <c r="M424" s="10">
        <v>17.185809948465511</v>
      </c>
      <c r="N424" s="10">
        <v>17.723255507320633</v>
      </c>
      <c r="O424" s="10">
        <v>22.143200545434254</v>
      </c>
      <c r="P424" s="10" t="s">
        <v>114</v>
      </c>
      <c r="Q424" s="10">
        <v>2.9132967294833629</v>
      </c>
      <c r="R424" s="10" t="s">
        <v>114</v>
      </c>
      <c r="S424" s="10" t="s">
        <v>114</v>
      </c>
      <c r="T424" s="10">
        <v>203.01035100122641</v>
      </c>
      <c r="U424" s="10">
        <v>194.92086526033174</v>
      </c>
      <c r="V424" s="10" t="s">
        <v>114</v>
      </c>
      <c r="W424" s="10" t="s">
        <v>114</v>
      </c>
      <c r="X424" s="10" t="s">
        <v>114</v>
      </c>
      <c r="Y424" s="10">
        <v>90.133902928071024</v>
      </c>
      <c r="Z424" s="10" t="s">
        <v>114</v>
      </c>
      <c r="AA424" s="10">
        <v>0.36092292031924972</v>
      </c>
      <c r="AB424" s="10" t="s">
        <v>114</v>
      </c>
      <c r="AC424" s="10" t="s">
        <v>114</v>
      </c>
      <c r="AD424" s="10" t="s">
        <v>114</v>
      </c>
      <c r="AE424" s="10" t="s">
        <v>114</v>
      </c>
      <c r="AF424" s="10">
        <v>2.3709192901264077E-3</v>
      </c>
      <c r="AG424" s="10">
        <v>2.0713705272634582</v>
      </c>
      <c r="AH424" s="10">
        <v>9.968992059163749E-2</v>
      </c>
      <c r="AI424" s="10">
        <v>0.24452192356150365</v>
      </c>
      <c r="AJ424" s="10">
        <v>1.8945661328825483E-2</v>
      </c>
      <c r="AK424" s="10">
        <v>0.10482449129190008</v>
      </c>
      <c r="AL424" s="10" t="s">
        <v>114</v>
      </c>
      <c r="AM424" s="10" t="s">
        <v>114</v>
      </c>
      <c r="AN424" s="10">
        <v>1.6763856451922531E-2</v>
      </c>
      <c r="AO424" s="10" t="s">
        <v>114</v>
      </c>
      <c r="AP424" s="10">
        <v>2.8839426876289147E-2</v>
      </c>
      <c r="AQ424" s="10" t="s">
        <v>114</v>
      </c>
      <c r="AR424" s="10" t="s">
        <v>114</v>
      </c>
      <c r="AS424" s="10" t="s">
        <v>114</v>
      </c>
      <c r="AT424" s="10">
        <v>1.3809797594411475E-2</v>
      </c>
      <c r="AU424" s="10" t="s">
        <v>114</v>
      </c>
      <c r="AV424" s="10">
        <v>0.17744960618844291</v>
      </c>
      <c r="AW424" s="10">
        <v>22.153552795116617</v>
      </c>
      <c r="AX424" s="10" t="s">
        <v>114</v>
      </c>
      <c r="AY424" s="10" t="s">
        <v>114</v>
      </c>
      <c r="AZ424" s="10" t="s">
        <v>114</v>
      </c>
      <c r="BA424" s="10" t="s">
        <v>114</v>
      </c>
      <c r="BB424" s="10" t="s">
        <v>114</v>
      </c>
      <c r="BC424" s="10" t="s">
        <v>114</v>
      </c>
      <c r="BD424" s="10">
        <v>8.4484932454827452E-2</v>
      </c>
    </row>
    <row r="425" spans="1:56" x14ac:dyDescent="0.3">
      <c r="A425" t="s">
        <v>511</v>
      </c>
      <c r="B425" t="s">
        <v>484</v>
      </c>
      <c r="C425" s="10">
        <v>8693.7056363006741</v>
      </c>
      <c r="D425" s="10">
        <v>3548.4854954883372</v>
      </c>
      <c r="E425" s="10">
        <v>106.43866281793925</v>
      </c>
      <c r="F425" s="10">
        <v>151321.05860737531</v>
      </c>
      <c r="G425" s="10">
        <v>339.43607617210426</v>
      </c>
      <c r="H425" s="10">
        <v>345752.16124022327</v>
      </c>
      <c r="I425" s="10">
        <v>349572.48053641082</v>
      </c>
      <c r="J425" s="10" t="s">
        <v>114</v>
      </c>
      <c r="K425" s="10">
        <v>1.0556693065609912</v>
      </c>
      <c r="L425" s="10">
        <v>2.4898740794119734</v>
      </c>
      <c r="M425" s="10">
        <v>32.114197461752774</v>
      </c>
      <c r="N425" s="10">
        <v>73.348533609957528</v>
      </c>
      <c r="O425" s="10">
        <v>77.781937893935648</v>
      </c>
      <c r="P425" s="10" t="s">
        <v>114</v>
      </c>
      <c r="Q425" s="10">
        <v>2.7734364933533495</v>
      </c>
      <c r="R425" s="10" t="s">
        <v>114</v>
      </c>
      <c r="S425" s="10" t="s">
        <v>114</v>
      </c>
      <c r="T425" s="10">
        <v>114.10446863144513</v>
      </c>
      <c r="U425" s="10">
        <v>105.09770482186175</v>
      </c>
      <c r="V425" s="10">
        <v>1.0147755187355239</v>
      </c>
      <c r="W425" s="10" t="s">
        <v>114</v>
      </c>
      <c r="X425" s="10" t="s">
        <v>114</v>
      </c>
      <c r="Y425" s="10">
        <v>410.53003663880702</v>
      </c>
      <c r="Z425" s="10" t="s">
        <v>114</v>
      </c>
      <c r="AA425" s="10">
        <v>0.39694155668710596</v>
      </c>
      <c r="AB425" s="10">
        <v>0.32489300352116729</v>
      </c>
      <c r="AC425" s="10" t="s">
        <v>114</v>
      </c>
      <c r="AD425" s="10" t="s">
        <v>114</v>
      </c>
      <c r="AE425" s="10" t="s">
        <v>114</v>
      </c>
      <c r="AF425" s="10">
        <v>3.0372615348177633E-3</v>
      </c>
      <c r="AG425" s="10">
        <v>8.0410512110951391</v>
      </c>
      <c r="AH425" s="10">
        <v>0.12890842742802805</v>
      </c>
      <c r="AI425" s="10">
        <v>0.26619473646742942</v>
      </c>
      <c r="AJ425" s="10">
        <v>2.7208083419795324E-2</v>
      </c>
      <c r="AK425" s="10">
        <v>0.11854197540264375</v>
      </c>
      <c r="AL425" s="10">
        <v>3.0764498532748586E-2</v>
      </c>
      <c r="AM425" s="10" t="s">
        <v>114</v>
      </c>
      <c r="AN425" s="10">
        <v>1.3250280513080741E-2</v>
      </c>
      <c r="AO425" s="10" t="s">
        <v>114</v>
      </c>
      <c r="AP425" s="10">
        <v>2.8399373235630802E-2</v>
      </c>
      <c r="AQ425" s="10" t="s">
        <v>114</v>
      </c>
      <c r="AR425" s="10" t="s">
        <v>114</v>
      </c>
      <c r="AS425" s="10" t="s">
        <v>114</v>
      </c>
      <c r="AT425" s="10">
        <v>1.4417843736826738E-2</v>
      </c>
      <c r="AU425" s="10" t="s">
        <v>114</v>
      </c>
      <c r="AV425" s="10">
        <v>0.22101015423836756</v>
      </c>
      <c r="AW425" s="10">
        <v>22.478418113504851</v>
      </c>
      <c r="AX425" s="10" t="s">
        <v>114</v>
      </c>
      <c r="AY425" s="10" t="s">
        <v>114</v>
      </c>
      <c r="AZ425" s="10" t="s">
        <v>114</v>
      </c>
      <c r="BA425" s="10" t="s">
        <v>114</v>
      </c>
      <c r="BB425" s="10" t="s">
        <v>114</v>
      </c>
      <c r="BC425" s="10" t="s">
        <v>114</v>
      </c>
      <c r="BD425" s="10">
        <v>0.7189495053924958</v>
      </c>
    </row>
    <row r="426" spans="1:56" x14ac:dyDescent="0.3">
      <c r="A426" t="s">
        <v>512</v>
      </c>
      <c r="B426" t="s">
        <v>484</v>
      </c>
      <c r="C426" s="10">
        <v>7028.4159451504156</v>
      </c>
      <c r="D426" s="10">
        <v>3047.5094039528112</v>
      </c>
      <c r="E426" s="10">
        <v>65.048186324208928</v>
      </c>
      <c r="F426" s="10">
        <v>164899.51843219341</v>
      </c>
      <c r="G426" s="10">
        <v>251.71353384855936</v>
      </c>
      <c r="H426" s="10">
        <v>375277.35968098778</v>
      </c>
      <c r="I426" s="10">
        <v>374991.70883609483</v>
      </c>
      <c r="J426" s="10">
        <v>9.1834632090176527</v>
      </c>
      <c r="K426" s="10" t="s">
        <v>114</v>
      </c>
      <c r="L426" s="10">
        <v>1.1305294387172107</v>
      </c>
      <c r="M426" s="10">
        <v>20.3034585704401</v>
      </c>
      <c r="N426" s="10">
        <v>32.895136920444429</v>
      </c>
      <c r="O426" s="10">
        <v>33.798984344030075</v>
      </c>
      <c r="P426" s="10" t="s">
        <v>114</v>
      </c>
      <c r="Q426" s="10">
        <v>1.8701288657268234</v>
      </c>
      <c r="R426" s="10" t="s">
        <v>114</v>
      </c>
      <c r="S426" s="10" t="s">
        <v>114</v>
      </c>
      <c r="T426" s="10">
        <v>201.86183366784141</v>
      </c>
      <c r="U426" s="10">
        <v>189.16347675260866</v>
      </c>
      <c r="V426" s="10" t="s">
        <v>114</v>
      </c>
      <c r="W426" s="10" t="s">
        <v>114</v>
      </c>
      <c r="X426" s="10" t="s">
        <v>114</v>
      </c>
      <c r="Y426" s="10">
        <v>109.79432985591481</v>
      </c>
      <c r="Z426" s="10" t="s">
        <v>114</v>
      </c>
      <c r="AA426" s="10" t="s">
        <v>114</v>
      </c>
      <c r="AB426" s="10" t="s">
        <v>114</v>
      </c>
      <c r="AC426" s="10" t="s">
        <v>114</v>
      </c>
      <c r="AD426" s="10" t="s">
        <v>114</v>
      </c>
      <c r="AE426" s="10" t="s">
        <v>114</v>
      </c>
      <c r="AF426" s="10">
        <v>1.9379581755617924E-3</v>
      </c>
      <c r="AG426" s="10">
        <v>2.3548929666755498</v>
      </c>
      <c r="AH426" s="10" t="s">
        <v>114</v>
      </c>
      <c r="AI426" s="10" t="s">
        <v>114</v>
      </c>
      <c r="AJ426" s="10" t="s">
        <v>114</v>
      </c>
      <c r="AK426" s="10" t="s">
        <v>114</v>
      </c>
      <c r="AL426" s="10" t="s">
        <v>114</v>
      </c>
      <c r="AM426" s="10" t="s">
        <v>114</v>
      </c>
      <c r="AN426" s="10" t="s">
        <v>114</v>
      </c>
      <c r="AO426" s="10" t="s">
        <v>114</v>
      </c>
      <c r="AP426" s="10">
        <v>9.1071384740669115E-3</v>
      </c>
      <c r="AQ426" s="10" t="s">
        <v>114</v>
      </c>
      <c r="AR426" s="10" t="s">
        <v>114</v>
      </c>
      <c r="AS426" s="10" t="s">
        <v>114</v>
      </c>
      <c r="AT426" s="10" t="s">
        <v>114</v>
      </c>
      <c r="AU426" s="10" t="s">
        <v>114</v>
      </c>
      <c r="AV426" s="10">
        <v>8.3225985921252868E-2</v>
      </c>
      <c r="AW426" s="10">
        <v>22.184448171181749</v>
      </c>
      <c r="AX426" s="10" t="s">
        <v>114</v>
      </c>
      <c r="AY426" s="10" t="s">
        <v>114</v>
      </c>
      <c r="AZ426" s="10">
        <v>6.5497917924620337</v>
      </c>
      <c r="BA426" s="10">
        <v>5.819429996199033</v>
      </c>
      <c r="BB426" s="10">
        <v>5.9978454779470685</v>
      </c>
      <c r="BC426" s="10" t="s">
        <v>114</v>
      </c>
      <c r="BD426" s="10">
        <v>0.10832480685931374</v>
      </c>
    </row>
    <row r="427" spans="1:56" x14ac:dyDescent="0.3">
      <c r="A427" t="s">
        <v>513</v>
      </c>
      <c r="B427" t="s">
        <v>484</v>
      </c>
      <c r="C427" s="10">
        <v>7694.5492783275786</v>
      </c>
      <c r="D427" s="10">
        <v>2863.8531548546002</v>
      </c>
      <c r="E427" s="10">
        <v>71.665600438555344</v>
      </c>
      <c r="F427" s="10">
        <v>154359.15826921092</v>
      </c>
      <c r="G427" s="10">
        <v>262.51857309482023</v>
      </c>
      <c r="H427" s="10">
        <v>353682.16912796319</v>
      </c>
      <c r="I427" s="10">
        <v>351354.60627303983</v>
      </c>
      <c r="J427" s="10" t="s">
        <v>114</v>
      </c>
      <c r="K427" s="10" t="s">
        <v>114</v>
      </c>
      <c r="L427" s="10">
        <v>1.066525300515464</v>
      </c>
      <c r="M427" s="10">
        <v>17.457210308900212</v>
      </c>
      <c r="N427" s="10" t="s">
        <v>114</v>
      </c>
      <c r="O427" s="10" t="s">
        <v>114</v>
      </c>
      <c r="P427" s="10" t="s">
        <v>114</v>
      </c>
      <c r="Q427" s="10" t="s">
        <v>114</v>
      </c>
      <c r="R427" s="10" t="s">
        <v>114</v>
      </c>
      <c r="S427" s="10" t="s">
        <v>114</v>
      </c>
      <c r="T427" s="10">
        <v>135.50732420372836</v>
      </c>
      <c r="U427" s="10">
        <v>128.86936377060928</v>
      </c>
      <c r="V427" s="10" t="s">
        <v>114</v>
      </c>
      <c r="W427" s="10" t="s">
        <v>114</v>
      </c>
      <c r="X427" s="10" t="s">
        <v>114</v>
      </c>
      <c r="Y427" s="10">
        <v>152.80471927179744</v>
      </c>
      <c r="Z427" s="10" t="s">
        <v>114</v>
      </c>
      <c r="AA427" s="10" t="s">
        <v>114</v>
      </c>
      <c r="AB427" s="10" t="s">
        <v>114</v>
      </c>
      <c r="AC427" s="10" t="s">
        <v>114</v>
      </c>
      <c r="AD427" s="10" t="s">
        <v>114</v>
      </c>
      <c r="AE427" s="10" t="s">
        <v>114</v>
      </c>
      <c r="AF427" s="10">
        <v>2.1620231587600193E-3</v>
      </c>
      <c r="AG427" s="10">
        <v>1.0158107395888123</v>
      </c>
      <c r="AH427" s="10">
        <v>1.9750601448952056E-2</v>
      </c>
      <c r="AI427" s="10" t="s">
        <v>114</v>
      </c>
      <c r="AJ427" s="10" t="s">
        <v>114</v>
      </c>
      <c r="AK427" s="10">
        <v>3.556277111968776E-2</v>
      </c>
      <c r="AL427" s="10" t="s">
        <v>114</v>
      </c>
      <c r="AM427" s="10" t="s">
        <v>114</v>
      </c>
      <c r="AN427" s="10" t="s">
        <v>114</v>
      </c>
      <c r="AO427" s="10" t="s">
        <v>114</v>
      </c>
      <c r="AP427" s="10" t="s">
        <v>114</v>
      </c>
      <c r="AQ427" s="10" t="s">
        <v>114</v>
      </c>
      <c r="AR427" s="10" t="s">
        <v>114</v>
      </c>
      <c r="AS427" s="10" t="s">
        <v>114</v>
      </c>
      <c r="AT427" s="10" t="s">
        <v>114</v>
      </c>
      <c r="AU427" s="10" t="s">
        <v>114</v>
      </c>
      <c r="AV427" s="10" t="s">
        <v>114</v>
      </c>
      <c r="AW427" s="10">
        <v>22.088314111660065</v>
      </c>
      <c r="AX427" s="10" t="s">
        <v>114</v>
      </c>
      <c r="AY427" s="10" t="s">
        <v>114</v>
      </c>
      <c r="AZ427" s="10" t="s">
        <v>114</v>
      </c>
      <c r="BA427" s="10" t="s">
        <v>114</v>
      </c>
      <c r="BB427" s="10" t="s">
        <v>114</v>
      </c>
      <c r="BC427" s="10" t="s">
        <v>114</v>
      </c>
      <c r="BD427" s="10" t="s">
        <v>114</v>
      </c>
    </row>
    <row r="428" spans="1:56" x14ac:dyDescent="0.3">
      <c r="A428" t="s">
        <v>514</v>
      </c>
      <c r="B428" t="s">
        <v>484</v>
      </c>
      <c r="C428" s="10">
        <v>7582.7121847254712</v>
      </c>
      <c r="D428" s="10">
        <v>2905.9662430717472</v>
      </c>
      <c r="E428" s="10">
        <v>55.12779091793233</v>
      </c>
      <c r="F428" s="10">
        <v>163556.66481231689</v>
      </c>
      <c r="G428" s="10">
        <v>242.92851189123533</v>
      </c>
      <c r="H428" s="10">
        <v>372499.02909771184</v>
      </c>
      <c r="I428" s="10">
        <v>369970.18471745384</v>
      </c>
      <c r="J428" s="10">
        <v>54.211359671560416</v>
      </c>
      <c r="K428" s="10" t="s">
        <v>114</v>
      </c>
      <c r="L428" s="10">
        <v>1.3467511381973016</v>
      </c>
      <c r="M428" s="10">
        <v>23.348514090685491</v>
      </c>
      <c r="N428" s="10">
        <v>41.168686759930665</v>
      </c>
      <c r="O428" s="10">
        <v>44.915065291045124</v>
      </c>
      <c r="P428" s="10" t="s">
        <v>114</v>
      </c>
      <c r="Q428" s="10">
        <v>2.2251833785159474</v>
      </c>
      <c r="R428" s="10" t="s">
        <v>114</v>
      </c>
      <c r="S428" s="10" t="s">
        <v>114</v>
      </c>
      <c r="T428" s="10">
        <v>189.45196389427423</v>
      </c>
      <c r="U428" s="10">
        <v>178.91421451911086</v>
      </c>
      <c r="V428" s="10" t="s">
        <v>114</v>
      </c>
      <c r="W428" s="10" t="s">
        <v>114</v>
      </c>
      <c r="X428" s="10" t="s">
        <v>114</v>
      </c>
      <c r="Y428" s="10">
        <v>137.43345889160074</v>
      </c>
      <c r="Z428" s="10" t="s">
        <v>114</v>
      </c>
      <c r="AA428" s="10">
        <v>1.2084715647392548</v>
      </c>
      <c r="AB428" s="10">
        <v>1.2518369503891067</v>
      </c>
      <c r="AC428" s="10" t="s">
        <v>114</v>
      </c>
      <c r="AD428" s="10" t="s">
        <v>114</v>
      </c>
      <c r="AE428" s="10" t="s">
        <v>114</v>
      </c>
      <c r="AF428" s="10">
        <v>3.1665511361157138E-3</v>
      </c>
      <c r="AG428" s="10">
        <v>2.5209500292130751</v>
      </c>
      <c r="AH428" s="10">
        <v>0.22707155704587445</v>
      </c>
      <c r="AI428" s="10">
        <v>0.60059603193635636</v>
      </c>
      <c r="AJ428" s="10">
        <v>4.6057867444144085E-2</v>
      </c>
      <c r="AK428" s="10">
        <v>0.23506341403877168</v>
      </c>
      <c r="AL428" s="10">
        <v>3.7228844276477366E-2</v>
      </c>
      <c r="AM428" s="10" t="s">
        <v>114</v>
      </c>
      <c r="AN428" s="10">
        <v>5.7914640954275662E-2</v>
      </c>
      <c r="AO428" s="10" t="s">
        <v>114</v>
      </c>
      <c r="AP428" s="10">
        <v>5.8919875280643408E-2</v>
      </c>
      <c r="AQ428" s="10" t="s">
        <v>114</v>
      </c>
      <c r="AR428" s="10">
        <v>3.7579572926248833E-2</v>
      </c>
      <c r="AS428" s="10">
        <v>3.2241968581221965E-3</v>
      </c>
      <c r="AT428" s="10">
        <v>2.6119000245727601E-2</v>
      </c>
      <c r="AU428" s="10">
        <v>3.0572997868222661E-3</v>
      </c>
      <c r="AV428" s="10">
        <v>0.46395396441695208</v>
      </c>
      <c r="AW428" s="10">
        <v>24.356135456691689</v>
      </c>
      <c r="AX428" s="10" t="s">
        <v>114</v>
      </c>
      <c r="AY428" s="10" t="s">
        <v>114</v>
      </c>
      <c r="AZ428" s="10" t="s">
        <v>114</v>
      </c>
      <c r="BA428" s="10" t="s">
        <v>114</v>
      </c>
      <c r="BB428" s="10" t="s">
        <v>114</v>
      </c>
      <c r="BC428" s="10">
        <v>0.25324604489410041</v>
      </c>
      <c r="BD428" s="10">
        <v>0.29259508008977098</v>
      </c>
    </row>
    <row r="429" spans="1:56" x14ac:dyDescent="0.3">
      <c r="A429" t="s">
        <v>515</v>
      </c>
      <c r="B429" t="s">
        <v>484</v>
      </c>
      <c r="C429" s="10">
        <v>6369.7361141883912</v>
      </c>
      <c r="D429" s="10">
        <v>3338.6376754033913</v>
      </c>
      <c r="E429" s="10">
        <v>221.38803453316885</v>
      </c>
      <c r="F429" s="10">
        <v>141985.92104183312</v>
      </c>
      <c r="G429" s="10">
        <v>206.819914873729</v>
      </c>
      <c r="H429" s="10">
        <v>321670.26432686299</v>
      </c>
      <c r="I429" s="10">
        <v>318420.30213522696</v>
      </c>
      <c r="J429" s="10" t="s">
        <v>114</v>
      </c>
      <c r="K429" s="10" t="s">
        <v>114</v>
      </c>
      <c r="L429" s="10">
        <v>1.2625795208969446</v>
      </c>
      <c r="M429" s="10">
        <v>18.141762977425412</v>
      </c>
      <c r="N429" s="10">
        <v>46.367911964495882</v>
      </c>
      <c r="O429" s="10">
        <v>52.7752579836379</v>
      </c>
      <c r="P429" s="10" t="s">
        <v>114</v>
      </c>
      <c r="Q429" s="10">
        <v>1.4775128391921513</v>
      </c>
      <c r="R429" s="10" t="s">
        <v>114</v>
      </c>
      <c r="S429" s="10" t="s">
        <v>114</v>
      </c>
      <c r="T429" s="10">
        <v>119.42473967537671</v>
      </c>
      <c r="U429" s="10">
        <v>117.59772714363153</v>
      </c>
      <c r="V429" s="10">
        <v>1.0911674411995773</v>
      </c>
      <c r="W429" s="10" t="s">
        <v>114</v>
      </c>
      <c r="X429" s="10" t="s">
        <v>114</v>
      </c>
      <c r="Y429" s="10">
        <v>106.60381108255179</v>
      </c>
      <c r="Z429" s="10" t="s">
        <v>114</v>
      </c>
      <c r="AA429" s="10">
        <v>0.5925866665972972</v>
      </c>
      <c r="AB429" s="10">
        <v>0.66983000831893924</v>
      </c>
      <c r="AC429" s="10" t="s">
        <v>114</v>
      </c>
      <c r="AD429" s="10" t="s">
        <v>114</v>
      </c>
      <c r="AE429" s="10" t="s">
        <v>114</v>
      </c>
      <c r="AF429" s="10">
        <v>1.7355313324299777E-3</v>
      </c>
      <c r="AG429" s="10">
        <v>2.1902546294662106</v>
      </c>
      <c r="AH429" s="10">
        <v>0.40022294161077598</v>
      </c>
      <c r="AI429" s="10">
        <v>1.1817177116083104</v>
      </c>
      <c r="AJ429" s="10">
        <v>9.0538547804313613E-2</v>
      </c>
      <c r="AK429" s="10">
        <v>0.43143703399287775</v>
      </c>
      <c r="AL429" s="10">
        <v>7.6958843348325451E-2</v>
      </c>
      <c r="AM429" s="10">
        <v>1.8595185042525473E-2</v>
      </c>
      <c r="AN429" s="10">
        <v>0.10085681105439148</v>
      </c>
      <c r="AO429" s="10" t="s">
        <v>114</v>
      </c>
      <c r="AP429" s="10">
        <v>0.10137080713426329</v>
      </c>
      <c r="AQ429" s="10" t="s">
        <v>114</v>
      </c>
      <c r="AR429" s="10">
        <v>5.7524254604511382E-2</v>
      </c>
      <c r="AS429" s="10">
        <v>7.6294027452714942E-3</v>
      </c>
      <c r="AT429" s="10">
        <v>4.5592321494349358E-2</v>
      </c>
      <c r="AU429" s="10">
        <v>6.505015981851249E-3</v>
      </c>
      <c r="AV429" s="10">
        <v>0.21989614173426783</v>
      </c>
      <c r="AW429" s="10">
        <v>22.494238464796624</v>
      </c>
      <c r="AX429" s="10" t="s">
        <v>114</v>
      </c>
      <c r="AY429" s="10" t="s">
        <v>114</v>
      </c>
      <c r="AZ429" s="10" t="s">
        <v>114</v>
      </c>
      <c r="BA429" s="10" t="s">
        <v>114</v>
      </c>
      <c r="BB429" s="10" t="s">
        <v>114</v>
      </c>
      <c r="BC429" s="10" t="s">
        <v>114</v>
      </c>
      <c r="BD429" s="10">
        <v>0.1709045393717859</v>
      </c>
    </row>
    <row r="430" spans="1:56" x14ac:dyDescent="0.3">
      <c r="A430" t="s">
        <v>516</v>
      </c>
      <c r="B430" t="s">
        <v>484</v>
      </c>
      <c r="C430" s="10">
        <v>6415.268459909139</v>
      </c>
      <c r="D430" s="10">
        <v>2511.4639014044692</v>
      </c>
      <c r="E430" s="10">
        <v>42.8485182816448</v>
      </c>
      <c r="F430" s="10">
        <v>135617.15356095464</v>
      </c>
      <c r="G430" s="10">
        <v>218.4146307414378</v>
      </c>
      <c r="H430" s="10">
        <v>311433.40402197663</v>
      </c>
      <c r="I430" s="10">
        <v>312376.19510700076</v>
      </c>
      <c r="J430" s="10">
        <v>15.209386499200587</v>
      </c>
      <c r="K430" s="10">
        <v>0.32349006189039509</v>
      </c>
      <c r="L430" s="10">
        <v>1.4826940882874107</v>
      </c>
      <c r="M430" s="10">
        <v>18.763409956822752</v>
      </c>
      <c r="N430" s="10">
        <v>25.736339787971609</v>
      </c>
      <c r="O430" s="10">
        <v>28.788743583322798</v>
      </c>
      <c r="P430" s="10" t="s">
        <v>114</v>
      </c>
      <c r="Q430" s="10" t="s">
        <v>114</v>
      </c>
      <c r="R430" s="10" t="s">
        <v>114</v>
      </c>
      <c r="S430" s="10" t="s">
        <v>114</v>
      </c>
      <c r="T430" s="10">
        <v>138.76440950955796</v>
      </c>
      <c r="U430" s="10">
        <v>131.00979409598972</v>
      </c>
      <c r="V430" s="10" t="s">
        <v>114</v>
      </c>
      <c r="W430" s="10" t="s">
        <v>114</v>
      </c>
      <c r="X430" s="10" t="s">
        <v>114</v>
      </c>
      <c r="Y430" s="10">
        <v>209.99895784470331</v>
      </c>
      <c r="Z430" s="10" t="s">
        <v>114</v>
      </c>
      <c r="AA430" s="10">
        <v>0.47610215598960648</v>
      </c>
      <c r="AB430" s="10">
        <v>0.46199015969567675</v>
      </c>
      <c r="AC430" s="10" t="s">
        <v>114</v>
      </c>
      <c r="AD430" s="10" t="s">
        <v>114</v>
      </c>
      <c r="AE430" s="10" t="s">
        <v>114</v>
      </c>
      <c r="AF430" s="10">
        <v>2.1978371412560635E-3</v>
      </c>
      <c r="AG430" s="10">
        <v>2.7687710592432131</v>
      </c>
      <c r="AH430" s="10">
        <v>4.2358731174494367E-2</v>
      </c>
      <c r="AI430" s="10">
        <v>8.4650751284594941E-2</v>
      </c>
      <c r="AJ430" s="10">
        <v>8.8524939266905796E-3</v>
      </c>
      <c r="AK430" s="10">
        <v>3.0852579283822151E-2</v>
      </c>
      <c r="AL430" s="10" t="s">
        <v>114</v>
      </c>
      <c r="AM430" s="10" t="s">
        <v>114</v>
      </c>
      <c r="AN430" s="10">
        <v>9.2813932283317274E-3</v>
      </c>
      <c r="AO430" s="10" t="s">
        <v>114</v>
      </c>
      <c r="AP430" s="10" t="s">
        <v>114</v>
      </c>
      <c r="AQ430" s="10" t="s">
        <v>114</v>
      </c>
      <c r="AR430" s="10" t="s">
        <v>114</v>
      </c>
      <c r="AS430" s="10" t="s">
        <v>114</v>
      </c>
      <c r="AT430" s="10" t="s">
        <v>114</v>
      </c>
      <c r="AU430" s="10" t="s">
        <v>114</v>
      </c>
      <c r="AV430" s="10">
        <v>0.18728068679407056</v>
      </c>
      <c r="AW430" s="10">
        <v>22.347453975104067</v>
      </c>
      <c r="AX430" s="10" t="s">
        <v>114</v>
      </c>
      <c r="AY430" s="10" t="s">
        <v>114</v>
      </c>
      <c r="AZ430" s="10" t="s">
        <v>114</v>
      </c>
      <c r="BA430" s="10" t="s">
        <v>114</v>
      </c>
      <c r="BB430" s="10" t="s">
        <v>114</v>
      </c>
      <c r="BC430" s="10" t="s">
        <v>114</v>
      </c>
      <c r="BD430" s="10">
        <v>0.14016877809525552</v>
      </c>
    </row>
    <row r="431" spans="1:56" x14ac:dyDescent="0.3">
      <c r="A431" t="s">
        <v>517</v>
      </c>
      <c r="B431" t="s">
        <v>484</v>
      </c>
      <c r="C431" s="10">
        <v>8042.0778453493831</v>
      </c>
      <c r="D431" s="10">
        <v>3669.7822774748188</v>
      </c>
      <c r="E431" s="10">
        <v>78.797884603645585</v>
      </c>
      <c r="F431" s="10">
        <v>154520.72929468719</v>
      </c>
      <c r="G431" s="10">
        <v>221.25982612079963</v>
      </c>
      <c r="H431" s="10">
        <v>354150.18040146475</v>
      </c>
      <c r="I431" s="10">
        <v>356497.33444009512</v>
      </c>
      <c r="J431" s="10" t="s">
        <v>114</v>
      </c>
      <c r="K431" s="10">
        <v>1.460998076056351</v>
      </c>
      <c r="L431" s="10">
        <v>1.652035097685584</v>
      </c>
      <c r="M431" s="10">
        <v>29.712829215446959</v>
      </c>
      <c r="N431" s="10">
        <v>54.055320476783734</v>
      </c>
      <c r="O431" s="10">
        <v>57.694508919845717</v>
      </c>
      <c r="P431" s="10" t="s">
        <v>114</v>
      </c>
      <c r="Q431" s="10" t="s">
        <v>114</v>
      </c>
      <c r="R431" s="10">
        <v>6.9707711428800732</v>
      </c>
      <c r="S431" s="10">
        <v>6.8379314491892389</v>
      </c>
      <c r="T431" s="10">
        <v>65.137711516735081</v>
      </c>
      <c r="U431" s="10">
        <v>64.875798937353991</v>
      </c>
      <c r="V431" s="10">
        <v>1.7077788583263254</v>
      </c>
      <c r="W431" s="10" t="s">
        <v>114</v>
      </c>
      <c r="X431" s="10" t="s">
        <v>114</v>
      </c>
      <c r="Y431" s="10">
        <v>338.75356892767053</v>
      </c>
      <c r="Z431" s="10" t="s">
        <v>114</v>
      </c>
      <c r="AA431" s="10" t="s">
        <v>114</v>
      </c>
      <c r="AB431" s="10">
        <v>0.33921033936169698</v>
      </c>
      <c r="AC431" s="10" t="s">
        <v>114</v>
      </c>
      <c r="AD431" s="10" t="s">
        <v>114</v>
      </c>
      <c r="AE431" s="10" t="s">
        <v>114</v>
      </c>
      <c r="AF431" s="10">
        <v>1.6018549968652414E-3</v>
      </c>
      <c r="AG431" s="10">
        <v>16.177385751607083</v>
      </c>
      <c r="AH431" s="10">
        <v>5.2930740543179901E-2</v>
      </c>
      <c r="AI431" s="10">
        <v>8.6239575530100657E-2</v>
      </c>
      <c r="AJ431" s="10" t="s">
        <v>114</v>
      </c>
      <c r="AK431" s="10">
        <v>3.28150840402101E-2</v>
      </c>
      <c r="AL431" s="10" t="s">
        <v>114</v>
      </c>
      <c r="AM431" s="10" t="s">
        <v>114</v>
      </c>
      <c r="AN431" s="10" t="s">
        <v>114</v>
      </c>
      <c r="AO431" s="10" t="s">
        <v>114</v>
      </c>
      <c r="AP431" s="10" t="s">
        <v>114</v>
      </c>
      <c r="AQ431" s="10" t="s">
        <v>114</v>
      </c>
      <c r="AR431" s="10" t="s">
        <v>114</v>
      </c>
      <c r="AS431" s="10" t="s">
        <v>114</v>
      </c>
      <c r="AT431" s="10" t="s">
        <v>114</v>
      </c>
      <c r="AU431" s="10" t="s">
        <v>114</v>
      </c>
      <c r="AV431" s="10">
        <v>0.25328185840406764</v>
      </c>
      <c r="AW431" s="10">
        <v>23.508310582260084</v>
      </c>
      <c r="AX431" s="10" t="s">
        <v>114</v>
      </c>
      <c r="AY431" s="10" t="s">
        <v>114</v>
      </c>
      <c r="AZ431" s="10" t="s">
        <v>114</v>
      </c>
      <c r="BA431" s="10" t="s">
        <v>114</v>
      </c>
      <c r="BB431" s="10" t="s">
        <v>114</v>
      </c>
      <c r="BC431" s="10" t="s">
        <v>114</v>
      </c>
      <c r="BD431" s="10">
        <v>0.49472666442389468</v>
      </c>
    </row>
    <row r="432" spans="1:56" x14ac:dyDescent="0.3">
      <c r="A432" t="s">
        <v>518</v>
      </c>
      <c r="B432" t="s">
        <v>484</v>
      </c>
      <c r="C432" s="10">
        <v>6197.0304490109538</v>
      </c>
      <c r="D432" s="10">
        <v>3170.056238183196</v>
      </c>
      <c r="E432" s="10">
        <v>105.69560094298228</v>
      </c>
      <c r="F432" s="10">
        <v>135086.48532326822</v>
      </c>
      <c r="G432" s="10">
        <v>231.06997541617619</v>
      </c>
      <c r="H432" s="10">
        <v>310863.21397656557</v>
      </c>
      <c r="I432" s="10">
        <v>308984.93295824563</v>
      </c>
      <c r="J432" s="10" t="s">
        <v>114</v>
      </c>
      <c r="K432" s="10">
        <v>1.4412997149663231</v>
      </c>
      <c r="L432" s="10">
        <v>3.1099673649902395</v>
      </c>
      <c r="M432" s="10">
        <v>28.309131376186496</v>
      </c>
      <c r="N432" s="10">
        <v>28.128540169636302</v>
      </c>
      <c r="O432" s="10">
        <v>32.094947475826118</v>
      </c>
      <c r="P432" s="10" t="s">
        <v>114</v>
      </c>
      <c r="Q432" s="10">
        <v>1.5394749970000556</v>
      </c>
      <c r="R432" s="10" t="s">
        <v>114</v>
      </c>
      <c r="S432" s="10" t="s">
        <v>114</v>
      </c>
      <c r="T432" s="10">
        <v>156.48911905959068</v>
      </c>
      <c r="U432" s="10">
        <v>149.3352021303142</v>
      </c>
      <c r="V432" s="10" t="s">
        <v>114</v>
      </c>
      <c r="W432" s="10" t="s">
        <v>114</v>
      </c>
      <c r="X432" s="10" t="s">
        <v>114</v>
      </c>
      <c r="Y432" s="10">
        <v>341.15576565102327</v>
      </c>
      <c r="Z432" s="10" t="s">
        <v>114</v>
      </c>
      <c r="AA432" s="10" t="s">
        <v>114</v>
      </c>
      <c r="AB432" s="10" t="s">
        <v>114</v>
      </c>
      <c r="AC432" s="10" t="s">
        <v>114</v>
      </c>
      <c r="AD432" s="10" t="s">
        <v>114</v>
      </c>
      <c r="AE432" s="10" t="s">
        <v>114</v>
      </c>
      <c r="AF432" s="10">
        <v>3.2745688930947989E-3</v>
      </c>
      <c r="AG432" s="10">
        <v>9.4113180890199413</v>
      </c>
      <c r="AH432" s="10">
        <v>6.7197073606527824E-2</v>
      </c>
      <c r="AI432" s="10">
        <v>0.17388921268667495</v>
      </c>
      <c r="AJ432" s="10">
        <v>1.5709148766149431E-2</v>
      </c>
      <c r="AK432" s="10">
        <v>7.5446540362011733E-2</v>
      </c>
      <c r="AL432" s="10" t="s">
        <v>114</v>
      </c>
      <c r="AM432" s="10" t="s">
        <v>114</v>
      </c>
      <c r="AN432" s="10">
        <v>1.19743976586164E-2</v>
      </c>
      <c r="AO432" s="10" t="s">
        <v>114</v>
      </c>
      <c r="AP432" s="10">
        <v>1.6561241345306361E-2</v>
      </c>
      <c r="AQ432" s="10" t="s">
        <v>114</v>
      </c>
      <c r="AR432" s="10" t="s">
        <v>114</v>
      </c>
      <c r="AS432" s="10" t="s">
        <v>114</v>
      </c>
      <c r="AT432" s="10" t="s">
        <v>114</v>
      </c>
      <c r="AU432" s="10" t="s">
        <v>114</v>
      </c>
      <c r="AV432" s="10">
        <v>0.13474072827958819</v>
      </c>
      <c r="AW432" s="10">
        <v>20.669033233002267</v>
      </c>
      <c r="AX432" s="10" t="s">
        <v>114</v>
      </c>
      <c r="AY432" s="10" t="s">
        <v>114</v>
      </c>
      <c r="AZ432" s="10" t="s">
        <v>114</v>
      </c>
      <c r="BA432" s="10" t="s">
        <v>114</v>
      </c>
      <c r="BB432" s="10" t="s">
        <v>114</v>
      </c>
      <c r="BC432" s="10" t="s">
        <v>114</v>
      </c>
      <c r="BD432" s="10">
        <v>0.18399078965301768</v>
      </c>
    </row>
    <row r="433" spans="1:56" x14ac:dyDescent="0.3">
      <c r="A433" t="s">
        <v>519</v>
      </c>
      <c r="B433" t="s">
        <v>484</v>
      </c>
      <c r="C433" s="10">
        <v>7828.1710299424767</v>
      </c>
      <c r="D433" s="10">
        <v>2901.5936919786982</v>
      </c>
      <c r="E433" s="10">
        <v>149.91822369637572</v>
      </c>
      <c r="F433" s="10">
        <v>180372.80730964389</v>
      </c>
      <c r="G433" s="10">
        <v>272.36352778905109</v>
      </c>
      <c r="H433" s="10">
        <v>411229.05815023661</v>
      </c>
      <c r="I433" s="10">
        <v>408323.98967122211</v>
      </c>
      <c r="J433" s="10" t="s">
        <v>114</v>
      </c>
      <c r="K433" s="10" t="s">
        <v>114</v>
      </c>
      <c r="L433" s="10">
        <v>1.049827937005005</v>
      </c>
      <c r="M433" s="10">
        <v>16.741756732243342</v>
      </c>
      <c r="N433" s="10">
        <v>11.274650193714958</v>
      </c>
      <c r="O433" s="10">
        <v>12.261256701054201</v>
      </c>
      <c r="P433" s="10" t="s">
        <v>114</v>
      </c>
      <c r="Q433" s="10" t="s">
        <v>114</v>
      </c>
      <c r="R433" s="10" t="s">
        <v>114</v>
      </c>
      <c r="S433" s="10" t="s">
        <v>114</v>
      </c>
      <c r="T433" s="10">
        <v>201.36065905164685</v>
      </c>
      <c r="U433" s="10">
        <v>189.82680924707961</v>
      </c>
      <c r="V433" s="10" t="s">
        <v>114</v>
      </c>
      <c r="W433" s="10" t="s">
        <v>114</v>
      </c>
      <c r="X433" s="10" t="s">
        <v>114</v>
      </c>
      <c r="Y433" s="10">
        <v>192.79095785922507</v>
      </c>
      <c r="Z433" s="10" t="s">
        <v>114</v>
      </c>
      <c r="AA433" s="10" t="s">
        <v>114</v>
      </c>
      <c r="AB433" s="10" t="s">
        <v>114</v>
      </c>
      <c r="AC433" s="10" t="s">
        <v>114</v>
      </c>
      <c r="AD433" s="10" t="s">
        <v>114</v>
      </c>
      <c r="AE433" s="10" t="s">
        <v>114</v>
      </c>
      <c r="AF433" s="10">
        <v>2.0754594950164981E-4</v>
      </c>
      <c r="AG433" s="10">
        <v>3.8337866749249052</v>
      </c>
      <c r="AH433" s="10">
        <v>0.12103305796263659</v>
      </c>
      <c r="AI433" s="10">
        <v>0.22843475044022465</v>
      </c>
      <c r="AJ433" s="10">
        <v>1.8879957517486754E-2</v>
      </c>
      <c r="AK433" s="10">
        <v>9.0589911501606807E-2</v>
      </c>
      <c r="AL433" s="10" t="s">
        <v>114</v>
      </c>
      <c r="AM433" s="10" t="s">
        <v>114</v>
      </c>
      <c r="AN433" s="10">
        <v>2.8110387743876745E-2</v>
      </c>
      <c r="AO433" s="10" t="s">
        <v>114</v>
      </c>
      <c r="AP433" s="10">
        <v>3.4047555485989651E-2</v>
      </c>
      <c r="AQ433" s="10" t="s">
        <v>114</v>
      </c>
      <c r="AR433" s="10">
        <v>2.3530252211170947E-2</v>
      </c>
      <c r="AS433" s="10">
        <v>3.2322507990900865E-3</v>
      </c>
      <c r="AT433" s="10">
        <v>2.1104340580765886E-2</v>
      </c>
      <c r="AU433" s="10">
        <v>3.9676983363840044E-3</v>
      </c>
      <c r="AV433" s="10" t="s">
        <v>114</v>
      </c>
      <c r="AW433" s="10">
        <v>21.118334437796246</v>
      </c>
      <c r="AX433" s="10" t="s">
        <v>114</v>
      </c>
      <c r="AY433" s="10" t="s">
        <v>114</v>
      </c>
      <c r="AZ433" s="10" t="s">
        <v>114</v>
      </c>
      <c r="BA433" s="10" t="s">
        <v>114</v>
      </c>
      <c r="BB433" s="10" t="s">
        <v>114</v>
      </c>
      <c r="BC433" s="10" t="s">
        <v>114</v>
      </c>
      <c r="BD433" s="10">
        <v>0.19095967081794163</v>
      </c>
    </row>
    <row r="434" spans="1:56" x14ac:dyDescent="0.3">
      <c r="A434" t="s">
        <v>520</v>
      </c>
      <c r="B434" t="s">
        <v>484</v>
      </c>
      <c r="C434" s="10">
        <v>6952.4512203277536</v>
      </c>
      <c r="D434" s="10">
        <v>2726.787683107711</v>
      </c>
      <c r="E434" s="10">
        <v>69.676976694342514</v>
      </c>
      <c r="F434" s="10">
        <v>151608.23355073316</v>
      </c>
      <c r="G434" s="10">
        <v>224.01815023633316</v>
      </c>
      <c r="H434" s="10">
        <v>345706.95173751086</v>
      </c>
      <c r="I434" s="10">
        <v>344938.57171346102</v>
      </c>
      <c r="J434" s="10">
        <v>12.397864138335947</v>
      </c>
      <c r="K434" s="10" t="s">
        <v>114</v>
      </c>
      <c r="L434" s="10">
        <v>1.8838115907859299</v>
      </c>
      <c r="M434" s="10">
        <v>19.217971953299141</v>
      </c>
      <c r="N434" s="10">
        <v>14.417954780196775</v>
      </c>
      <c r="O434" s="10">
        <v>17.755130093940295</v>
      </c>
      <c r="P434" s="10" t="s">
        <v>114</v>
      </c>
      <c r="Q434" s="10">
        <v>1.5200322791435434</v>
      </c>
      <c r="R434" s="10" t="s">
        <v>114</v>
      </c>
      <c r="S434" s="10" t="s">
        <v>114</v>
      </c>
      <c r="T434" s="10">
        <v>195.04591595554717</v>
      </c>
      <c r="U434" s="10">
        <v>179.98567768409288</v>
      </c>
      <c r="V434" s="10" t="s">
        <v>114</v>
      </c>
      <c r="W434" s="10" t="s">
        <v>114</v>
      </c>
      <c r="X434" s="10" t="s">
        <v>114</v>
      </c>
      <c r="Y434" s="10">
        <v>118.22379165057826</v>
      </c>
      <c r="Z434" s="10" t="s">
        <v>114</v>
      </c>
      <c r="AA434" s="10">
        <v>1.0125320845681907</v>
      </c>
      <c r="AB434" s="10">
        <v>1.0863166408884311</v>
      </c>
      <c r="AC434" s="10" t="s">
        <v>114</v>
      </c>
      <c r="AD434" s="10" t="s">
        <v>114</v>
      </c>
      <c r="AE434" s="10" t="s">
        <v>114</v>
      </c>
      <c r="AF434" s="10">
        <v>4.9175561815375394E-3</v>
      </c>
      <c r="AG434" s="10">
        <v>2.5318419592901504</v>
      </c>
      <c r="AH434" s="10">
        <v>0.20052935749649323</v>
      </c>
      <c r="AI434" s="10">
        <v>0.4297786222370672</v>
      </c>
      <c r="AJ434" s="10">
        <v>4.8432189079100858E-2</v>
      </c>
      <c r="AK434" s="10">
        <v>0.17329399615381599</v>
      </c>
      <c r="AL434" s="10">
        <v>3.2764951407901838E-2</v>
      </c>
      <c r="AM434" s="10">
        <v>1.4277264947158037E-2</v>
      </c>
      <c r="AN434" s="10">
        <v>4.7137201698442148E-2</v>
      </c>
      <c r="AO434" s="10" t="s">
        <v>114</v>
      </c>
      <c r="AP434" s="10">
        <v>4.3502442281389671E-2</v>
      </c>
      <c r="AQ434" s="10" t="s">
        <v>114</v>
      </c>
      <c r="AR434" s="10">
        <v>1.2413027435688768E-2</v>
      </c>
      <c r="AS434" s="10" t="s">
        <v>114</v>
      </c>
      <c r="AT434" s="10">
        <v>1.7445011945600442E-2</v>
      </c>
      <c r="AU434" s="10" t="s">
        <v>114</v>
      </c>
      <c r="AV434" s="10">
        <v>0.41784507228636114</v>
      </c>
      <c r="AW434" s="10">
        <v>22.681531339659681</v>
      </c>
      <c r="AX434" s="10" t="s">
        <v>114</v>
      </c>
      <c r="AY434" s="10" t="s">
        <v>114</v>
      </c>
      <c r="AZ434" s="10">
        <v>0.75174674687416909</v>
      </c>
      <c r="BA434" s="10" t="s">
        <v>114</v>
      </c>
      <c r="BB434" s="10">
        <v>0.71824296352224093</v>
      </c>
      <c r="BC434" s="10">
        <v>0.2172005732178908</v>
      </c>
      <c r="BD434" s="10">
        <v>0.19741164518813878</v>
      </c>
    </row>
    <row r="435" spans="1:56" x14ac:dyDescent="0.3">
      <c r="A435" t="s">
        <v>521</v>
      </c>
      <c r="B435" t="s">
        <v>484</v>
      </c>
      <c r="C435" s="10">
        <v>7454.2722267396839</v>
      </c>
      <c r="D435" s="10">
        <v>3049.1629384748062</v>
      </c>
      <c r="E435" s="10">
        <v>86.431322950782175</v>
      </c>
      <c r="F435" s="10">
        <v>162338.68287818233</v>
      </c>
      <c r="G435" s="10">
        <v>286.75670833270141</v>
      </c>
      <c r="H435" s="10">
        <v>366596.70216548821</v>
      </c>
      <c r="I435" s="10">
        <v>365317.28514876676</v>
      </c>
      <c r="J435" s="10" t="s">
        <v>114</v>
      </c>
      <c r="K435" s="10" t="s">
        <v>114</v>
      </c>
      <c r="L435" s="10">
        <v>1.1022086458399714</v>
      </c>
      <c r="M435" s="10">
        <v>15.081261347317866</v>
      </c>
      <c r="N435" s="10" t="s">
        <v>114</v>
      </c>
      <c r="O435" s="10" t="s">
        <v>114</v>
      </c>
      <c r="P435" s="10" t="s">
        <v>114</v>
      </c>
      <c r="Q435" s="10" t="s">
        <v>114</v>
      </c>
      <c r="R435" s="10" t="s">
        <v>114</v>
      </c>
      <c r="S435" s="10" t="s">
        <v>114</v>
      </c>
      <c r="T435" s="10">
        <v>132.24912719741883</v>
      </c>
      <c r="U435" s="10">
        <v>128.74658358834606</v>
      </c>
      <c r="V435" s="10" t="s">
        <v>114</v>
      </c>
      <c r="W435" s="10" t="s">
        <v>114</v>
      </c>
      <c r="X435" s="10" t="s">
        <v>114</v>
      </c>
      <c r="Y435" s="10">
        <v>140.2789001640987</v>
      </c>
      <c r="Z435" s="10" t="s">
        <v>114</v>
      </c>
      <c r="AA435" s="10">
        <v>0.57796350741455194</v>
      </c>
      <c r="AB435" s="10">
        <v>0.46200391094880078</v>
      </c>
      <c r="AC435" s="10" t="s">
        <v>114</v>
      </c>
      <c r="AD435" s="10" t="s">
        <v>114</v>
      </c>
      <c r="AE435" s="10" t="s">
        <v>114</v>
      </c>
      <c r="AF435" s="10">
        <v>2.9423941286433894E-3</v>
      </c>
      <c r="AG435" s="10">
        <v>1.7709349868238438</v>
      </c>
      <c r="AH435" s="10">
        <v>5.4826081466020263E-2</v>
      </c>
      <c r="AI435" s="10">
        <v>0.11649850147155182</v>
      </c>
      <c r="AJ435" s="10">
        <v>1.4901169918748665E-2</v>
      </c>
      <c r="AK435" s="10">
        <v>5.8254396336060145E-2</v>
      </c>
      <c r="AL435" s="10" t="s">
        <v>114</v>
      </c>
      <c r="AM435" s="10" t="s">
        <v>114</v>
      </c>
      <c r="AN435" s="10">
        <v>8.7423647848193196E-3</v>
      </c>
      <c r="AO435" s="10" t="s">
        <v>114</v>
      </c>
      <c r="AP435" s="10">
        <v>1.0469075019173742E-2</v>
      </c>
      <c r="AQ435" s="10" t="s">
        <v>114</v>
      </c>
      <c r="AR435" s="10" t="s">
        <v>114</v>
      </c>
      <c r="AS435" s="10" t="s">
        <v>114</v>
      </c>
      <c r="AT435" s="10" t="s">
        <v>114</v>
      </c>
      <c r="AU435" s="10" t="s">
        <v>114</v>
      </c>
      <c r="AV435" s="10">
        <v>0.18743159492098818</v>
      </c>
      <c r="AW435" s="10">
        <v>21.758758663710047</v>
      </c>
      <c r="AX435" s="10" t="s">
        <v>114</v>
      </c>
      <c r="AY435" s="10" t="s">
        <v>114</v>
      </c>
      <c r="AZ435" s="10" t="s">
        <v>114</v>
      </c>
      <c r="BA435" s="10" t="s">
        <v>114</v>
      </c>
      <c r="BB435" s="10" t="s">
        <v>114</v>
      </c>
      <c r="BC435" s="10" t="s">
        <v>114</v>
      </c>
      <c r="BD435" s="10" t="s">
        <v>114</v>
      </c>
    </row>
    <row r="436" spans="1:56" x14ac:dyDescent="0.3">
      <c r="A436" s="12" t="s">
        <v>522</v>
      </c>
      <c r="B436" t="s">
        <v>64</v>
      </c>
      <c r="C436" s="10">
        <v>7949.9041937253332</v>
      </c>
      <c r="D436" s="10">
        <v>3108.6929431697204</v>
      </c>
      <c r="E436" s="10">
        <v>30.967278745835507</v>
      </c>
      <c r="F436" s="10">
        <v>169489.49513573491</v>
      </c>
      <c r="G436" s="10">
        <v>262.14732537708517</v>
      </c>
      <c r="H436" s="10">
        <v>383077.30680281913</v>
      </c>
      <c r="I436" s="10">
        <v>382104.95915816678</v>
      </c>
      <c r="J436" s="10">
        <v>9.9882649774954295</v>
      </c>
      <c r="K436" s="10">
        <v>0.3710800830381682</v>
      </c>
      <c r="L436" s="10">
        <v>1.5940249474751675</v>
      </c>
      <c r="M436" s="10">
        <v>37.510724795352616</v>
      </c>
      <c r="N436" s="10">
        <v>60.392347073349654</v>
      </c>
      <c r="O436" s="10">
        <v>67.674380626957088</v>
      </c>
      <c r="P436" s="10">
        <v>0.52232109658948289</v>
      </c>
      <c r="Q436" s="10">
        <v>464.45226466556312</v>
      </c>
      <c r="R436" s="10" t="s">
        <v>114</v>
      </c>
      <c r="S436" s="10" t="s">
        <v>114</v>
      </c>
      <c r="T436" s="10">
        <v>178.61452676877968</v>
      </c>
      <c r="U436" s="10">
        <v>167.83614861196833</v>
      </c>
      <c r="V436" s="10" t="s">
        <v>114</v>
      </c>
      <c r="W436" s="10" t="s">
        <v>114</v>
      </c>
      <c r="X436" s="10" t="s">
        <v>114</v>
      </c>
      <c r="Y436" s="10">
        <v>256.44500740438389</v>
      </c>
      <c r="Z436" s="10" t="s">
        <v>114</v>
      </c>
      <c r="AA436" s="10" t="s">
        <v>114</v>
      </c>
      <c r="AB436" s="10" t="s">
        <v>114</v>
      </c>
      <c r="AC436" s="10" t="s">
        <v>114</v>
      </c>
      <c r="AD436" s="10" t="s">
        <v>114</v>
      </c>
      <c r="AE436" s="10" t="s">
        <v>114</v>
      </c>
      <c r="AF436" s="10">
        <v>1.8020780420301855E-3</v>
      </c>
      <c r="AG436" s="10">
        <v>4.9543930567319876</v>
      </c>
      <c r="AH436" s="10">
        <v>0.22400386479795945</v>
      </c>
      <c r="AI436" s="10">
        <v>0.52432472473081759</v>
      </c>
      <c r="AJ436" s="10">
        <v>6.7669705161471083E-2</v>
      </c>
      <c r="AK436" s="10">
        <v>0.2266400484182782</v>
      </c>
      <c r="AL436" s="10">
        <v>5.8438084139816701E-2</v>
      </c>
      <c r="AM436" s="10">
        <v>2.0031402815274487E-2</v>
      </c>
      <c r="AN436" s="10">
        <v>5.824967073236214E-2</v>
      </c>
      <c r="AO436" s="10" t="s">
        <v>114</v>
      </c>
      <c r="AP436" s="10">
        <v>4.3819472730463153E-2</v>
      </c>
      <c r="AQ436" s="10" t="s">
        <v>114</v>
      </c>
      <c r="AR436" s="10">
        <v>2.0270995682584083E-2</v>
      </c>
      <c r="AS436" s="10" t="s">
        <v>114</v>
      </c>
      <c r="AT436" s="10">
        <v>2.3384091464675624E-2</v>
      </c>
      <c r="AU436" s="10" t="s">
        <v>114</v>
      </c>
      <c r="AV436" s="10">
        <v>0.10685210224009238</v>
      </c>
      <c r="AW436" s="10">
        <v>23.614890695830454</v>
      </c>
      <c r="AX436" s="10" t="s">
        <v>114</v>
      </c>
      <c r="AY436" s="10" t="s">
        <v>114</v>
      </c>
      <c r="AZ436" s="10" t="s">
        <v>114</v>
      </c>
      <c r="BA436" s="10" t="s">
        <v>114</v>
      </c>
      <c r="BB436" s="10" t="s">
        <v>114</v>
      </c>
      <c r="BC436" s="10" t="s">
        <v>114</v>
      </c>
      <c r="BD436" s="10">
        <v>1.532218551365804</v>
      </c>
    </row>
    <row r="437" spans="1:56" x14ac:dyDescent="0.3">
      <c r="A437" t="s">
        <v>523</v>
      </c>
      <c r="C437" s="10">
        <v>4452.7310108286456</v>
      </c>
      <c r="D437" s="10">
        <v>1309.1659983353438</v>
      </c>
      <c r="E437" s="10">
        <v>117.97169757400823</v>
      </c>
      <c r="F437" s="10">
        <v>150650.60556618668</v>
      </c>
      <c r="G437" s="10">
        <v>238.54827736749419</v>
      </c>
      <c r="H437" s="10">
        <v>375772.0071387277</v>
      </c>
      <c r="I437" s="10">
        <v>381864.63183387858</v>
      </c>
      <c r="J437" s="10">
        <v>8.248458904503341</v>
      </c>
      <c r="K437" s="10">
        <v>16.475535553245869</v>
      </c>
      <c r="L437" s="10">
        <v>7.4242439368240527</v>
      </c>
      <c r="M437" s="10">
        <v>321.65223928478594</v>
      </c>
      <c r="N437" s="10">
        <v>2020.3932424053262</v>
      </c>
      <c r="O437" s="10">
        <v>2045.6201082385865</v>
      </c>
      <c r="P437" s="10">
        <v>1.1967691545704569</v>
      </c>
      <c r="Q437" s="10">
        <v>7.0199346128709683</v>
      </c>
      <c r="R437" s="10">
        <v>11.551929751583192</v>
      </c>
      <c r="S437" s="10">
        <v>12.081815466407658</v>
      </c>
      <c r="T437" s="10">
        <v>102.37870216793996</v>
      </c>
      <c r="U437" s="10">
        <v>98.141427881672513</v>
      </c>
      <c r="V437" s="10">
        <v>19.005253824447752</v>
      </c>
      <c r="W437" s="10" t="s">
        <v>114</v>
      </c>
      <c r="X437" s="10">
        <v>0.34118993155635069</v>
      </c>
      <c r="Y437" s="10">
        <v>1384.0308429511767</v>
      </c>
      <c r="Z437" s="10">
        <v>5.9864644261088662</v>
      </c>
      <c r="AA437" s="10">
        <v>0.77140133904987629</v>
      </c>
      <c r="AB437" s="10">
        <v>0.83360064410231538</v>
      </c>
      <c r="AC437" s="10" t="s">
        <v>114</v>
      </c>
      <c r="AD437" s="10" t="s">
        <v>114</v>
      </c>
      <c r="AE437" s="10">
        <v>1.2002948665640925</v>
      </c>
      <c r="AF437" s="10">
        <v>7.8195469253046403E-3</v>
      </c>
      <c r="AG437" s="10">
        <v>39.682663600620714</v>
      </c>
      <c r="AH437" s="10">
        <v>0.25852846852535138</v>
      </c>
      <c r="AI437" s="10">
        <v>0.38750717944154539</v>
      </c>
      <c r="AJ437" s="10">
        <v>3.5261541008508118E-2</v>
      </c>
      <c r="AK437" s="10">
        <v>0.17026299508201725</v>
      </c>
      <c r="AL437" s="10">
        <v>2.6631581575109326E-2</v>
      </c>
      <c r="AM437" s="10" t="s">
        <v>114</v>
      </c>
      <c r="AN437" s="10">
        <v>4.9547496446364948E-2</v>
      </c>
      <c r="AO437" s="10" t="s">
        <v>114</v>
      </c>
      <c r="AP437" s="10">
        <v>8.4330890518846791E-2</v>
      </c>
      <c r="AQ437" s="10" t="s">
        <v>114</v>
      </c>
      <c r="AR437" s="10">
        <v>5.8447848469517942E-2</v>
      </c>
      <c r="AS437" s="10">
        <v>1.2612627467637073E-2</v>
      </c>
      <c r="AT437" s="10">
        <v>8.9459509396432962E-2</v>
      </c>
      <c r="AU437" s="10">
        <v>1.5192331701255671E-2</v>
      </c>
      <c r="AV437" s="10">
        <v>0.33191489164216692</v>
      </c>
      <c r="AW437" s="10">
        <v>22.283243093180918</v>
      </c>
      <c r="AX437" s="10" t="s">
        <v>114</v>
      </c>
      <c r="AY437" s="10" t="s">
        <v>114</v>
      </c>
      <c r="AZ437" s="10">
        <v>17.146500890933979</v>
      </c>
      <c r="BA437" s="10">
        <v>15.363101041005622</v>
      </c>
      <c r="BB437" s="10">
        <v>15.874386323240419</v>
      </c>
      <c r="BC437" s="10" t="s">
        <v>114</v>
      </c>
      <c r="BD437" s="10">
        <v>63.132232344218096</v>
      </c>
    </row>
    <row r="447" spans="1:56" x14ac:dyDescent="0.3">
      <c r="Y447" s="14"/>
    </row>
  </sheetData>
  <protectedRanges>
    <protectedRange algorithmName="SHA-512" hashValue="7Ax/qZXEVOpOnh4DALKI2rbGb5Zj+ZvWaXlU6fFDiHyDQCXSqF7HuEl+j2OIE0qk6S2v5NRp/P2LbMFFCKzgEg==" saltValue="R6Ofsa+s1AH/6KUH+3a74w==" spinCount="100000" sqref="A3:A34" name="Range1"/>
    <protectedRange algorithmName="SHA-512" hashValue="UHIS9zBFoKcgR4hTq3PtiHg7HCuuys0TuG7E24uv7GDTzP9YBWNmDLjMW0fZkTpOUt6P6YLNJctsX2qrkgD/RA==" saltValue="ViDlWKbj2b+dUk1Otohw0A==" spinCount="100000" sqref="A35:A64" name="Range1_2"/>
  </protectedRanges>
  <conditionalFormatting sqref="A35:A64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iCAP NIST 1400 compiled</vt:lpstr>
      <vt:lpstr>iCAP concentrations in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 Stamer</dc:creator>
  <cp:lastModifiedBy>Julianne Stamer</cp:lastModifiedBy>
  <dcterms:created xsi:type="dcterms:W3CDTF">2025-05-16T18:46:48Z</dcterms:created>
  <dcterms:modified xsi:type="dcterms:W3CDTF">2026-02-06T16:51:08Z</dcterms:modified>
</cp:coreProperties>
</file>